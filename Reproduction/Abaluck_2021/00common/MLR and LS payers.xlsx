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t9437\Dropbox\Insurer Mortality\data\07mechanisms\"/>
    </mc:Choice>
  </mc:AlternateContent>
  <bookViews>
    <workbookView xWindow="0" yWindow="0" windowWidth="11496" windowHeight="7812" tabRatio="817"/>
  </bookViews>
  <sheets>
    <sheet name="ReadMe" sheetId="3" r:id="rId1"/>
    <sheet name="Landscape Data" sheetId="2" r:id="rId2"/>
    <sheet name="MLR Data" sheetId="1" r:id="rId3"/>
  </sheets>
  <definedNames>
    <definedName name="_xlnm._FilterDatabase" localSheetId="1" hidden="1">'Landscape Data'!$B$1:$E$1802</definedName>
    <definedName name="_xlnm._FilterDatabase" localSheetId="2" hidden="1">'MLR Data'!$B$1:$E$706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2" i="2" l="1"/>
  <c r="A17" i="2"/>
  <c r="A63" i="2"/>
  <c r="A49" i="2"/>
  <c r="A51" i="2"/>
  <c r="A509" i="2"/>
  <c r="A828" i="2"/>
  <c r="A387" i="2"/>
  <c r="A559" i="2"/>
  <c r="A16" i="2"/>
  <c r="A192" i="2"/>
  <c r="A285" i="2"/>
  <c r="A415" i="2"/>
  <c r="A286" i="2"/>
  <c r="A172" i="2"/>
  <c r="A510" i="2"/>
  <c r="A629" i="2"/>
  <c r="A719" i="2"/>
  <c r="A246" i="2"/>
  <c r="A829" i="2"/>
  <c r="A560" i="2"/>
  <c r="A830" i="2"/>
  <c r="A720" i="2"/>
  <c r="A831" i="2"/>
  <c r="A287" i="2"/>
  <c r="A100" i="2"/>
  <c r="A268" i="2"/>
  <c r="A462" i="2"/>
  <c r="A416" i="2"/>
  <c r="A630" i="2"/>
  <c r="A463" i="2"/>
  <c r="A561" i="2"/>
  <c r="A139" i="2"/>
  <c r="A417" i="2"/>
  <c r="A288" i="2"/>
  <c r="A511" i="2"/>
  <c r="A562" i="2"/>
  <c r="A721" i="2"/>
  <c r="A832" i="2"/>
  <c r="A833" i="2"/>
  <c r="A722" i="2"/>
  <c r="A356" i="2"/>
  <c r="A723" i="2"/>
  <c r="A631" i="2"/>
  <c r="A834" i="2"/>
  <c r="A289" i="2"/>
  <c r="A632" i="2"/>
  <c r="A563" i="2"/>
  <c r="A724" i="2"/>
  <c r="A725" i="2"/>
  <c r="A726" i="2"/>
  <c r="A835" i="2"/>
  <c r="A357" i="2"/>
  <c r="A836" i="2"/>
  <c r="A464" i="2"/>
  <c r="A564" i="2"/>
  <c r="A837" i="2"/>
  <c r="A838" i="2"/>
  <c r="A839" i="2"/>
  <c r="A840" i="2"/>
  <c r="A841" i="2"/>
  <c r="A633" i="2"/>
  <c r="A842" i="2"/>
  <c r="A843" i="2"/>
  <c r="A256" i="2"/>
  <c r="A188" i="2"/>
  <c r="A162" i="2"/>
  <c r="A59" i="2"/>
  <c r="A69" i="2"/>
  <c r="A84" i="2"/>
  <c r="A101" i="2"/>
  <c r="A85" i="2"/>
  <c r="A844" i="2"/>
  <c r="A119" i="2"/>
  <c r="A290" i="2"/>
  <c r="A193" i="2"/>
  <c r="A332" i="2"/>
  <c r="A90" i="2"/>
  <c r="A634" i="2"/>
  <c r="A845" i="2"/>
  <c r="A465" i="2"/>
  <c r="A846" i="2"/>
  <c r="A418" i="2"/>
  <c r="A291" i="2"/>
  <c r="A847" i="2"/>
  <c r="A133" i="2"/>
  <c r="A333" i="2"/>
  <c r="A848" i="2"/>
  <c r="A727" i="2"/>
  <c r="A565" i="2"/>
  <c r="A512" i="2"/>
  <c r="A513" i="2"/>
  <c r="A257" i="2"/>
  <c r="A728" i="2"/>
  <c r="A388" i="2"/>
  <c r="A419" i="2"/>
  <c r="A466" i="2"/>
  <c r="A635" i="2"/>
  <c r="A636" i="2"/>
  <c r="A849" i="2"/>
  <c r="A850" i="2"/>
  <c r="A566" i="2"/>
  <c r="A467" i="2"/>
  <c r="A729" i="2"/>
  <c r="A851" i="2"/>
  <c r="A730" i="2"/>
  <c r="A731" i="2"/>
  <c r="A852" i="2"/>
  <c r="A732" i="2"/>
  <c r="A853" i="2"/>
  <c r="A854" i="2"/>
  <c r="A567" i="2"/>
  <c r="A855" i="2"/>
  <c r="A856" i="2"/>
  <c r="A857" i="2"/>
  <c r="A858" i="2"/>
  <c r="A859" i="2"/>
  <c r="A514" i="2"/>
  <c r="A420" i="2"/>
  <c r="A40" i="2"/>
  <c r="A163" i="2"/>
  <c r="A468" i="2"/>
  <c r="A568" i="2"/>
  <c r="A389" i="2"/>
  <c r="A150" i="2"/>
  <c r="A110" i="2"/>
  <c r="A94" i="2"/>
  <c r="A247" i="2"/>
  <c r="A733" i="2"/>
  <c r="A569" i="2"/>
  <c r="A734" i="2"/>
  <c r="A860" i="2"/>
  <c r="A570" i="2"/>
  <c r="A861" i="2"/>
  <c r="A637" i="2"/>
  <c r="A735" i="2"/>
  <c r="A736" i="2"/>
  <c r="A862" i="2"/>
  <c r="A863" i="2"/>
  <c r="A864" i="2"/>
  <c r="A334" i="2"/>
  <c r="A390" i="2"/>
  <c r="A89" i="2"/>
  <c r="A103" i="2"/>
  <c r="A469" i="2"/>
  <c r="A358" i="2"/>
  <c r="A638" i="2"/>
  <c r="A421" i="2"/>
  <c r="A232" i="2"/>
  <c r="A737" i="2"/>
  <c r="A865" i="2"/>
  <c r="A639" i="2"/>
  <c r="A571" i="2"/>
  <c r="A572" i="2"/>
  <c r="A470" i="2"/>
  <c r="A866" i="2"/>
  <c r="A640" i="2"/>
  <c r="A738" i="2"/>
  <c r="A867" i="2"/>
  <c r="A140" i="2"/>
  <c r="A134" i="2"/>
  <c r="A359" i="2"/>
  <c r="A54" i="2"/>
  <c r="A14" i="2"/>
  <c r="A311" i="2"/>
  <c r="A515" i="2"/>
  <c r="A135" i="2"/>
  <c r="A25" i="2"/>
  <c r="A641" i="2"/>
  <c r="A207" i="2"/>
  <c r="A739" i="2"/>
  <c r="A233" i="2"/>
  <c r="A642" i="2"/>
  <c r="A141" i="2"/>
  <c r="A97" i="2"/>
  <c r="A573" i="2"/>
  <c r="A98" i="2"/>
  <c r="A19" i="2"/>
  <c r="A391" i="2"/>
  <c r="A128" i="2"/>
  <c r="A643" i="2"/>
  <c r="A868" i="2"/>
  <c r="A516" i="2"/>
  <c r="A173" i="2"/>
  <c r="A517" i="2"/>
  <c r="A422" i="2"/>
  <c r="A208" i="2"/>
  <c r="A740" i="2"/>
  <c r="A869" i="2"/>
  <c r="A423" i="2"/>
  <c r="A111" i="2"/>
  <c r="A174" i="2"/>
  <c r="A518" i="2"/>
  <c r="A741" i="2"/>
  <c r="A194" i="2"/>
  <c r="A360" i="2"/>
  <c r="A574" i="2"/>
  <c r="A644" i="2"/>
  <c r="A189" i="2"/>
  <c r="A575" i="2"/>
  <c r="A742" i="2"/>
  <c r="A424" i="2"/>
  <c r="A269" i="2"/>
  <c r="A576" i="2"/>
  <c r="A743" i="2"/>
  <c r="A519" i="2"/>
  <c r="A870" i="2"/>
  <c r="A871" i="2"/>
  <c r="A744" i="2"/>
  <c r="A872" i="2"/>
  <c r="A873" i="2"/>
  <c r="A745" i="2"/>
  <c r="A746" i="2"/>
  <c r="A747" i="2"/>
  <c r="A748" i="2"/>
  <c r="A874" i="2"/>
  <c r="A749" i="2"/>
  <c r="A112" i="2"/>
  <c r="A9" i="2"/>
  <c r="A75" i="2"/>
  <c r="A48" i="2"/>
  <c r="A129" i="2"/>
  <c r="A312" i="2"/>
  <c r="A875" i="2"/>
  <c r="A234" i="2"/>
  <c r="A76" i="2"/>
  <c r="A645" i="2"/>
  <c r="A471" i="2"/>
  <c r="A361" i="2"/>
  <c r="A876" i="2"/>
  <c r="A155" i="2"/>
  <c r="A750" i="2"/>
  <c r="A472" i="2"/>
  <c r="A520" i="2"/>
  <c r="A521" i="2"/>
  <c r="A209" i="2"/>
  <c r="A392" i="2"/>
  <c r="A393" i="2"/>
  <c r="A646" i="2"/>
  <c r="A647" i="2"/>
  <c r="A751" i="2"/>
  <c r="A877" i="2"/>
  <c r="A473" i="2"/>
  <c r="A522" i="2"/>
  <c r="A335" i="2"/>
  <c r="A752" i="2"/>
  <c r="A270" i="2"/>
  <c r="A648" i="2"/>
  <c r="A878" i="2"/>
  <c r="A753" i="2"/>
  <c r="A879" i="2"/>
  <c r="A754" i="2"/>
  <c r="A11" i="2"/>
  <c r="A46" i="2"/>
  <c r="A210" i="2"/>
  <c r="A235" i="2"/>
  <c r="A164" i="2"/>
  <c r="A362" i="2"/>
  <c r="A577" i="2"/>
  <c r="A425" i="2"/>
  <c r="A649" i="2"/>
  <c r="A650" i="2"/>
  <c r="A426" i="2"/>
  <c r="A82" i="2"/>
  <c r="A165" i="2"/>
  <c r="A258" i="2"/>
  <c r="A52" i="2"/>
  <c r="A427" i="2"/>
  <c r="A313" i="2"/>
  <c r="A755" i="2"/>
  <c r="A578" i="2"/>
  <c r="A756" i="2"/>
  <c r="A880" i="2"/>
  <c r="A259" i="2"/>
  <c r="A34" i="2"/>
  <c r="A394" i="2"/>
  <c r="A120" i="2"/>
  <c r="A105" i="2"/>
  <c r="A314" i="2"/>
  <c r="A223" i="2"/>
  <c r="A248" i="2"/>
  <c r="A395" i="2"/>
  <c r="A336" i="2"/>
  <c r="A337" i="2"/>
  <c r="A757" i="2"/>
  <c r="A338" i="2"/>
  <c r="A579" i="2"/>
  <c r="A758" i="2"/>
  <c r="A651" i="2"/>
  <c r="A428" i="2"/>
  <c r="A474" i="2"/>
  <c r="A475" i="2"/>
  <c r="A339" i="2"/>
  <c r="A523" i="2"/>
  <c r="A652" i="2"/>
  <c r="A86" i="2"/>
  <c r="A113" i="2"/>
  <c r="A12" i="2"/>
  <c r="A292" i="2"/>
  <c r="A271" i="2"/>
  <c r="A166" i="2"/>
  <c r="A580" i="2"/>
  <c r="A211" i="2"/>
  <c r="A200" i="2"/>
  <c r="A759" i="2"/>
  <c r="A653" i="2"/>
  <c r="A151" i="2"/>
  <c r="A293" i="2"/>
  <c r="A881" i="2"/>
  <c r="A654" i="2"/>
  <c r="A524" i="2"/>
  <c r="A272" i="2"/>
  <c r="A396" i="2"/>
  <c r="A760" i="2"/>
  <c r="A70" i="2"/>
  <c r="A476" i="2"/>
  <c r="A249" i="2"/>
  <c r="A581" i="2"/>
  <c r="A882" i="2"/>
  <c r="A761" i="2"/>
  <c r="A525" i="2"/>
  <c r="A883" i="2"/>
  <c r="A397" i="2"/>
  <c r="A884" i="2"/>
  <c r="A885" i="2"/>
  <c r="A886" i="2"/>
  <c r="A260" i="2"/>
  <c r="A20" i="2"/>
  <c r="A175" i="2"/>
  <c r="A655" i="2"/>
  <c r="A429" i="2"/>
  <c r="A261" i="2"/>
  <c r="A430" i="2"/>
  <c r="A887" i="2"/>
  <c r="A582" i="2"/>
  <c r="A167" i="2"/>
  <c r="A181" i="2"/>
  <c r="A583" i="2"/>
  <c r="A584" i="2"/>
  <c r="A585" i="2"/>
  <c r="A431" i="2"/>
  <c r="A224" i="2"/>
  <c r="A586" i="2"/>
  <c r="A294" i="2"/>
  <c r="A477" i="2"/>
  <c r="A587" i="2"/>
  <c r="A526" i="2"/>
  <c r="A273" i="2"/>
  <c r="A527" i="2"/>
  <c r="A888" i="2"/>
  <c r="A762" i="2"/>
  <c r="A889" i="2"/>
  <c r="A890" i="2"/>
  <c r="A528" i="2"/>
  <c r="A121" i="2"/>
  <c r="A315" i="2"/>
  <c r="A316" i="2"/>
  <c r="A77" i="2"/>
  <c r="A274" i="2"/>
  <c r="A432" i="2"/>
  <c r="A340" i="2"/>
  <c r="A433" i="2"/>
  <c r="A275" i="2"/>
  <c r="A317" i="2"/>
  <c r="A588" i="2"/>
  <c r="A478" i="2"/>
  <c r="A479" i="2"/>
  <c r="A763" i="2"/>
  <c r="A891" i="2"/>
  <c r="A398" i="2"/>
  <c r="A529" i="2"/>
  <c r="A363" i="2"/>
  <c r="A212" i="2"/>
  <c r="A764" i="2"/>
  <c r="A892" i="2"/>
  <c r="A893" i="2"/>
  <c r="A765" i="2"/>
  <c r="A894" i="2"/>
  <c r="A895" i="2"/>
  <c r="A896" i="2"/>
  <c r="A897" i="2"/>
  <c r="A589" i="2"/>
  <c r="A201" i="2"/>
  <c r="A364" i="2"/>
  <c r="A530" i="2"/>
  <c r="A91" i="2"/>
  <c r="A250" i="2"/>
  <c r="A590" i="2"/>
  <c r="A480" i="2"/>
  <c r="A365" i="2"/>
  <c r="A898" i="2"/>
  <c r="A766" i="2"/>
  <c r="A656" i="2"/>
  <c r="A657" i="2"/>
  <c r="A658" i="2"/>
  <c r="A899" i="2"/>
  <c r="A900" i="2"/>
  <c r="A901" i="2"/>
  <c r="A902" i="2"/>
  <c r="A767" i="2"/>
  <c r="A202" i="2"/>
  <c r="A262" i="2"/>
  <c r="A481" i="2"/>
  <c r="A482" i="2"/>
  <c r="A399" i="2"/>
  <c r="A903" i="2"/>
  <c r="A904" i="2"/>
  <c r="A4" i="2"/>
  <c r="A60" i="2"/>
  <c r="A366" i="2"/>
  <c r="A225" i="2"/>
  <c r="A27" i="2"/>
  <c r="A80" i="2"/>
  <c r="A483" i="2"/>
  <c r="A434" i="2"/>
  <c r="A435" i="2"/>
  <c r="A905" i="2"/>
  <c r="A531" i="2"/>
  <c r="A400" i="2"/>
  <c r="A659" i="2"/>
  <c r="A318" i="2"/>
  <c r="A436" i="2"/>
  <c r="A226" i="2"/>
  <c r="A591" i="2"/>
  <c r="A484" i="2"/>
  <c r="A906" i="2"/>
  <c r="A660" i="2"/>
  <c r="A768" i="2"/>
  <c r="A769" i="2"/>
  <c r="A770" i="2"/>
  <c r="A907" i="2"/>
  <c r="A771" i="2"/>
  <c r="A485" i="2"/>
  <c r="A908" i="2"/>
  <c r="A909" i="2"/>
  <c r="A910" i="2"/>
  <c r="A64" i="2"/>
  <c r="A38" i="2"/>
  <c r="A30" i="2"/>
  <c r="A32" i="2"/>
  <c r="A7" i="2"/>
  <c r="A43" i="2"/>
  <c r="A486" i="2"/>
  <c r="A532" i="2"/>
  <c r="A152" i="2"/>
  <c r="A437" i="2"/>
  <c r="A438" i="2"/>
  <c r="A123" i="2"/>
  <c r="A367" i="2"/>
  <c r="A661" i="2"/>
  <c r="A533" i="2"/>
  <c r="A911" i="2"/>
  <c r="A912" i="2"/>
  <c r="A913" i="2"/>
  <c r="A772" i="2"/>
  <c r="A41" i="2"/>
  <c r="A182" i="2"/>
  <c r="A295" i="2"/>
  <c r="A10" i="2"/>
  <c r="A144" i="2"/>
  <c r="A263" i="2"/>
  <c r="A662" i="2"/>
  <c r="A368" i="2"/>
  <c r="A227" i="2"/>
  <c r="A276" i="2"/>
  <c r="A663" i="2"/>
  <c r="A664" i="2"/>
  <c r="A251" i="2"/>
  <c r="A296" i="2"/>
  <c r="A297" i="2"/>
  <c r="A369" i="2"/>
  <c r="A773" i="2"/>
  <c r="A370" i="2"/>
  <c r="A487" i="2"/>
  <c r="A488" i="2"/>
  <c r="A914" i="2"/>
  <c r="A915" i="2"/>
  <c r="A665" i="2"/>
  <c r="A236" i="2"/>
  <c r="A774" i="2"/>
  <c r="A35" i="2"/>
  <c r="A116" i="2"/>
  <c r="A666" i="2"/>
  <c r="A439" i="2"/>
  <c r="A213" i="2"/>
  <c r="A592" i="2"/>
  <c r="A371" i="2"/>
  <c r="A667" i="2"/>
  <c r="A916" i="2"/>
  <c r="A593" i="2"/>
  <c r="A917" i="2"/>
  <c r="A775" i="2"/>
  <c r="A44" i="2"/>
  <c r="A214" i="2"/>
  <c r="A440" i="2"/>
  <c r="A372" i="2"/>
  <c r="A668" i="2"/>
  <c r="A669" i="2"/>
  <c r="A918" i="2"/>
  <c r="A31" i="2"/>
  <c r="A114" i="2"/>
  <c r="A401" i="2"/>
  <c r="A919" i="2"/>
  <c r="A215" i="2"/>
  <c r="A5" i="2"/>
  <c r="A42" i="2"/>
  <c r="A594" i="2"/>
  <c r="A216" i="2"/>
  <c r="A99" i="2"/>
  <c r="A595" i="2"/>
  <c r="A145" i="2"/>
  <c r="A203" i="2"/>
  <c r="A237" i="2"/>
  <c r="A183" i="2"/>
  <c r="A176" i="2"/>
  <c r="A670" i="2"/>
  <c r="A217" i="2"/>
  <c r="A920" i="2"/>
  <c r="A373" i="2"/>
  <c r="A671" i="2"/>
  <c r="A596" i="2"/>
  <c r="A776" i="2"/>
  <c r="A921" i="2"/>
  <c r="A922" i="2"/>
  <c r="A923" i="2"/>
  <c r="A127" i="2"/>
  <c r="A489" i="2"/>
  <c r="A777" i="2"/>
  <c r="A778" i="2"/>
  <c r="A779" i="2"/>
  <c r="A597" i="2"/>
  <c r="A124" i="2"/>
  <c r="A374" i="2"/>
  <c r="A153" i="2"/>
  <c r="A490" i="2"/>
  <c r="A924" i="2"/>
  <c r="A672" i="2"/>
  <c r="A441" i="2"/>
  <c r="A780" i="2"/>
  <c r="A673" i="2"/>
  <c r="A781" i="2"/>
  <c r="A375" i="2"/>
  <c r="A341" i="2"/>
  <c r="A674" i="2"/>
  <c r="A925" i="2"/>
  <c r="A782" i="2"/>
  <c r="A675" i="2"/>
  <c r="A598" i="2"/>
  <c r="A29" i="2"/>
  <c r="A36" i="2"/>
  <c r="A599" i="2"/>
  <c r="A442" i="2"/>
  <c r="A218" i="2"/>
  <c r="A676" i="2"/>
  <c r="A319" i="2"/>
  <c r="A443" i="2"/>
  <c r="A926" i="2"/>
  <c r="A342" i="2"/>
  <c r="A298" i="2"/>
  <c r="A783" i="2"/>
  <c r="A677" i="2"/>
  <c r="A678" i="2"/>
  <c r="A927" i="2"/>
  <c r="A444" i="2"/>
  <c r="A491" i="2"/>
  <c r="A784" i="2"/>
  <c r="A600" i="2"/>
  <c r="A679" i="2"/>
  <c r="A376" i="2"/>
  <c r="A228" i="2"/>
  <c r="A601" i="2"/>
  <c r="A602" i="2"/>
  <c r="A928" i="2"/>
  <c r="A343" i="2"/>
  <c r="A680" i="2"/>
  <c r="A929" i="2"/>
  <c r="A681" i="2"/>
  <c r="A58" i="2"/>
  <c r="A682" i="2"/>
  <c r="A277" i="2"/>
  <c r="A603" i="2"/>
  <c r="A785" i="2"/>
  <c r="A492" i="2"/>
  <c r="A604" i="2"/>
  <c r="A683" i="2"/>
  <c r="A930" i="2"/>
  <c r="A786" i="2"/>
  <c r="A684" i="2"/>
  <c r="A402" i="2"/>
  <c r="A445" i="2"/>
  <c r="A685" i="2"/>
  <c r="A931" i="2"/>
  <c r="A686" i="2"/>
  <c r="A605" i="2"/>
  <c r="A932" i="2"/>
  <c r="A534" i="2"/>
  <c r="A933" i="2"/>
  <c r="A219" i="2"/>
  <c r="A446" i="2"/>
  <c r="A320" i="2"/>
  <c r="A229" i="2"/>
  <c r="A160" i="2"/>
  <c r="A83" i="2"/>
  <c r="A606" i="2"/>
  <c r="A299" i="2"/>
  <c r="A65" i="2"/>
  <c r="A156" i="2"/>
  <c r="A55" i="2"/>
  <c r="A66" i="2"/>
  <c r="A238" i="2"/>
  <c r="A47" i="2"/>
  <c r="A106" i="2"/>
  <c r="A107" i="2"/>
  <c r="A934" i="2"/>
  <c r="A108" i="2"/>
  <c r="A493" i="2"/>
  <c r="A687" i="2"/>
  <c r="A146" i="2"/>
  <c r="A403" i="2"/>
  <c r="A344" i="2"/>
  <c r="A252" i="2"/>
  <c r="A184" i="2"/>
  <c r="A264" i="2"/>
  <c r="A535" i="2"/>
  <c r="A494" i="2"/>
  <c r="A787" i="2"/>
  <c r="A130" i="2"/>
  <c r="A788" i="2"/>
  <c r="A147" i="2"/>
  <c r="A688" i="2"/>
  <c r="A689" i="2"/>
  <c r="A607" i="2"/>
  <c r="A608" i="2"/>
  <c r="A253" i="2"/>
  <c r="A117" i="2"/>
  <c r="A239" i="2"/>
  <c r="A609" i="2"/>
  <c r="A321" i="2"/>
  <c r="A495" i="2"/>
  <c r="A690" i="2"/>
  <c r="A935" i="2"/>
  <c r="A936" i="2"/>
  <c r="A691" i="2"/>
  <c r="A345" i="2"/>
  <c r="A404" i="2"/>
  <c r="A536" i="2"/>
  <c r="A937" i="2"/>
  <c r="A692" i="2"/>
  <c r="A610" i="2"/>
  <c r="A693" i="2"/>
  <c r="A938" i="2"/>
  <c r="A694" i="2"/>
  <c r="A695" i="2"/>
  <c r="A939" i="2"/>
  <c r="A940" i="2"/>
  <c r="A941" i="2"/>
  <c r="A942" i="2"/>
  <c r="A8" i="2"/>
  <c r="A230" i="2"/>
  <c r="A13" i="2"/>
  <c r="A240" i="2"/>
  <c r="A322" i="2"/>
  <c r="A537" i="2"/>
  <c r="A447" i="2"/>
  <c r="A67" i="2"/>
  <c r="A496" i="2"/>
  <c r="A190" i="2"/>
  <c r="A154" i="2"/>
  <c r="A191" i="2"/>
  <c r="A538" i="2"/>
  <c r="A943" i="2"/>
  <c r="A944" i="2"/>
  <c r="A265" i="2"/>
  <c r="A696" i="2"/>
  <c r="A266" i="2"/>
  <c r="A945" i="2"/>
  <c r="A204" i="2"/>
  <c r="A539" i="2"/>
  <c r="A448" i="2"/>
  <c r="A946" i="2"/>
  <c r="A789" i="2"/>
  <c r="A39" i="2"/>
  <c r="A323" i="2"/>
  <c r="A377" i="2"/>
  <c r="A278" i="2"/>
  <c r="A300" i="2"/>
  <c r="A697" i="2"/>
  <c r="A698" i="2"/>
  <c r="A611" i="2"/>
  <c r="A790" i="2"/>
  <c r="A791" i="2"/>
  <c r="A449" i="2"/>
  <c r="A612" i="2"/>
  <c r="A540" i="2"/>
  <c r="A136" i="2"/>
  <c r="A346" i="2"/>
  <c r="A205" i="2"/>
  <c r="A405" i="2"/>
  <c r="A497" i="2"/>
  <c r="A115" i="2"/>
  <c r="A406" i="2"/>
  <c r="A279" i="2"/>
  <c r="A407" i="2"/>
  <c r="A241" i="2"/>
  <c r="A498" i="2"/>
  <c r="A499" i="2"/>
  <c r="A541" i="2"/>
  <c r="A347" i="2"/>
  <c r="A500" i="2"/>
  <c r="A792" i="2"/>
  <c r="A195" i="2"/>
  <c r="A378" i="2"/>
  <c r="A324" i="2"/>
  <c r="A301" i="2"/>
  <c r="A325" i="2"/>
  <c r="A2" i="2"/>
  <c r="A699" i="2"/>
  <c r="A947" i="2"/>
  <c r="A348" i="2"/>
  <c r="A450" i="2"/>
  <c r="A793" i="2"/>
  <c r="A501" i="2"/>
  <c r="A794" i="2"/>
  <c r="A948" i="2"/>
  <c r="A131" i="2"/>
  <c r="A177" i="2"/>
  <c r="A28" i="2"/>
  <c r="A137" i="2"/>
  <c r="A26" i="2"/>
  <c r="A15" i="2"/>
  <c r="A125" i="2"/>
  <c r="A81" i="2"/>
  <c r="A949" i="2"/>
  <c r="A950" i="2"/>
  <c r="A408" i="2"/>
  <c r="A33" i="2"/>
  <c r="A45" i="2"/>
  <c r="A542" i="2"/>
  <c r="A349" i="2"/>
  <c r="A178" i="2"/>
  <c r="A951" i="2"/>
  <c r="A326" i="2"/>
  <c r="A148" i="2"/>
  <c r="A409" i="2"/>
  <c r="A543" i="2"/>
  <c r="A280" i="2"/>
  <c r="A78" i="2"/>
  <c r="A350" i="2"/>
  <c r="A61" i="2"/>
  <c r="A544" i="2"/>
  <c r="A281" i="2"/>
  <c r="A795" i="2"/>
  <c r="A502" i="2"/>
  <c r="A796" i="2"/>
  <c r="A952" i="2"/>
  <c r="A545" i="2"/>
  <c r="A613" i="2"/>
  <c r="A282" i="2"/>
  <c r="A157" i="2"/>
  <c r="A546" i="2"/>
  <c r="A953" i="2"/>
  <c r="A700" i="2"/>
  <c r="A701" i="2"/>
  <c r="A797" i="2"/>
  <c r="A954" i="2"/>
  <c r="A451" i="2"/>
  <c r="A702" i="2"/>
  <c r="A798" i="2"/>
  <c r="A955" i="2"/>
  <c r="A799" i="2"/>
  <c r="A956" i="2"/>
  <c r="A957" i="2"/>
  <c r="A958" i="2"/>
  <c r="A959" i="2"/>
  <c r="A547" i="2"/>
  <c r="A452" i="2"/>
  <c r="A548" i="2"/>
  <c r="A549" i="2"/>
  <c r="A800" i="2"/>
  <c r="A703" i="2"/>
  <c r="A960" i="2"/>
  <c r="A961" i="2"/>
  <c r="A95" i="2"/>
  <c r="A23" i="2"/>
  <c r="A168" i="2"/>
  <c r="A169" i="2"/>
  <c r="A302" i="2"/>
  <c r="A379" i="2"/>
  <c r="A380" i="2"/>
  <c r="A351" i="2"/>
  <c r="A614" i="2"/>
  <c r="A138" i="2"/>
  <c r="A453" i="2"/>
  <c r="A615" i="2"/>
  <c r="A704" i="2"/>
  <c r="A410" i="2"/>
  <c r="A616" i="2"/>
  <c r="A617" i="2"/>
  <c r="A801" i="2"/>
  <c r="A454" i="2"/>
  <c r="A303" i="2"/>
  <c r="A705" i="2"/>
  <c r="A352" i="2"/>
  <c r="A802" i="2"/>
  <c r="A962" i="2"/>
  <c r="A963" i="2"/>
  <c r="A126" i="2"/>
  <c r="A618" i="2"/>
  <c r="A964" i="2"/>
  <c r="A803" i="2"/>
  <c r="A804" i="2"/>
  <c r="A87" i="2"/>
  <c r="A37" i="2"/>
  <c r="A21" i="2"/>
  <c r="A72" i="2"/>
  <c r="A170" i="2"/>
  <c r="A22" i="2"/>
  <c r="A56" i="2"/>
  <c r="A109" i="2"/>
  <c r="A706" i="2"/>
  <c r="A707" i="2"/>
  <c r="A122" i="2"/>
  <c r="A965" i="2"/>
  <c r="A708" i="2"/>
  <c r="A966" i="2"/>
  <c r="A709" i="2"/>
  <c r="A805" i="2"/>
  <c r="A967" i="2"/>
  <c r="A806" i="2"/>
  <c r="A968" i="2"/>
  <c r="A807" i="2"/>
  <c r="A808" i="2"/>
  <c r="A969" i="2"/>
  <c r="A970" i="2"/>
  <c r="A304" i="2"/>
  <c r="A149" i="2"/>
  <c r="A102" i="2"/>
  <c r="A142" i="2"/>
  <c r="A24" i="2"/>
  <c r="A327" i="2"/>
  <c r="A196" i="2"/>
  <c r="A68" i="2"/>
  <c r="A305" i="2"/>
  <c r="A92" i="2"/>
  <c r="A328" i="2"/>
  <c r="A185" i="2"/>
  <c r="A220" i="2"/>
  <c r="A550" i="2"/>
  <c r="A971" i="2"/>
  <c r="A972" i="2"/>
  <c r="A197" i="2"/>
  <c r="A198" i="2"/>
  <c r="A254" i="2"/>
  <c r="A619" i="2"/>
  <c r="A551" i="2"/>
  <c r="A620" i="2"/>
  <c r="A809" i="2"/>
  <c r="A179" i="2"/>
  <c r="A255" i="2"/>
  <c r="A621" i="2"/>
  <c r="A221" i="2"/>
  <c r="A455" i="2"/>
  <c r="A353" i="2"/>
  <c r="A411" i="2"/>
  <c r="A329" i="2"/>
  <c r="A381" i="2"/>
  <c r="A810" i="2"/>
  <c r="A503" i="2"/>
  <c r="A306" i="2"/>
  <c r="A973" i="2"/>
  <c r="A242" i="2"/>
  <c r="A811" i="2"/>
  <c r="A456" i="2"/>
  <c r="A552" i="2"/>
  <c r="A504" i="2"/>
  <c r="A812" i="2"/>
  <c r="A813" i="2"/>
  <c r="A814" i="2"/>
  <c r="A974" i="2"/>
  <c r="A815" i="2"/>
  <c r="A975" i="2"/>
  <c r="A976" i="2"/>
  <c r="A710" i="2"/>
  <c r="A977" i="2"/>
  <c r="A50" i="2"/>
  <c r="A199" i="2"/>
  <c r="A206" i="2"/>
  <c r="A382" i="2"/>
  <c r="A330" i="2"/>
  <c r="A816" i="2"/>
  <c r="A457" i="2"/>
  <c r="A331" i="2"/>
  <c r="A622" i="2"/>
  <c r="A553" i="2"/>
  <c r="A623" i="2"/>
  <c r="A817" i="2"/>
  <c r="A554" i="2"/>
  <c r="A818" i="2"/>
  <c r="A624" i="2"/>
  <c r="A118" i="2"/>
  <c r="A3" i="2"/>
  <c r="A71" i="2"/>
  <c r="A283" i="2"/>
  <c r="A307" i="2"/>
  <c r="A73" i="2"/>
  <c r="A383" i="2"/>
  <c r="A243" i="2"/>
  <c r="A161" i="2"/>
  <c r="A308" i="2"/>
  <c r="A143" i="2"/>
  <c r="A505" i="2"/>
  <c r="A711" i="2"/>
  <c r="A506" i="2"/>
  <c r="A384" i="2"/>
  <c r="A555" i="2"/>
  <c r="A978" i="2"/>
  <c r="A712" i="2"/>
  <c r="A979" i="2"/>
  <c r="A819" i="2"/>
  <c r="A458" i="2"/>
  <c r="A713" i="2"/>
  <c r="A714" i="2"/>
  <c r="A980" i="2"/>
  <c r="A507" i="2"/>
  <c r="A158" i="2"/>
  <c r="A820" i="2"/>
  <c r="A222" i="2"/>
  <c r="A412" i="2"/>
  <c r="A625" i="2"/>
  <c r="A413" i="2"/>
  <c r="A626" i="2"/>
  <c r="A79" i="2"/>
  <c r="A180" i="2"/>
  <c r="A159" i="2"/>
  <c r="A459" i="2"/>
  <c r="A821" i="2"/>
  <c r="A981" i="2"/>
  <c r="A715" i="2"/>
  <c r="A982" i="2"/>
  <c r="A244" i="2"/>
  <c r="A822" i="2"/>
  <c r="A983" i="2"/>
  <c r="A132" i="2"/>
  <c r="A984" i="2"/>
  <c r="A716" i="2"/>
  <c r="A385" i="2"/>
  <c r="A93" i="2"/>
  <c r="A309" i="2"/>
  <c r="A985" i="2"/>
  <c r="A284" i="2"/>
  <c r="A386" i="2"/>
  <c r="A245" i="2"/>
  <c r="A986" i="2"/>
  <c r="A717" i="2"/>
  <c r="A823" i="2"/>
  <c r="A824" i="2"/>
  <c r="A825" i="2"/>
  <c r="A6" i="2"/>
  <c r="A74" i="2"/>
  <c r="A171" i="2"/>
  <c r="A18" i="2"/>
  <c r="A186" i="2"/>
  <c r="A96" i="2"/>
  <c r="A267" i="2"/>
  <c r="A556" i="2"/>
  <c r="A88" i="2"/>
  <c r="A57" i="2"/>
  <c r="A460" i="2"/>
  <c r="A718" i="2"/>
  <c r="A354" i="2"/>
  <c r="A987" i="2"/>
  <c r="A826" i="2"/>
  <c r="A461" i="2"/>
  <c r="A310" i="2"/>
  <c r="A508" i="2"/>
  <c r="A988" i="2"/>
  <c r="A989" i="2"/>
  <c r="A627" i="2"/>
  <c r="A628" i="2"/>
  <c r="A990" i="2"/>
  <c r="A53" i="2"/>
  <c r="A187" i="2"/>
  <c r="A414" i="2"/>
  <c r="A557" i="2"/>
  <c r="A991" i="2"/>
  <c r="A827" i="2"/>
  <c r="A992" i="2"/>
  <c r="A355" i="2"/>
  <c r="A993" i="2"/>
  <c r="A558" i="2"/>
  <c r="A231" i="2"/>
  <c r="A994" i="2"/>
  <c r="A104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2" i="1"/>
  <c r="D1033" i="2" l="1"/>
  <c r="D1041" i="2"/>
  <c r="D1049" i="2"/>
  <c r="D1057" i="2"/>
  <c r="D1065" i="2"/>
  <c r="D1073" i="2"/>
  <c r="D1081" i="2"/>
  <c r="D1089" i="2"/>
  <c r="D1097" i="2"/>
  <c r="D1105" i="2"/>
  <c r="D1113" i="2"/>
  <c r="D1121" i="2"/>
  <c r="D1129" i="2"/>
  <c r="D1137" i="2"/>
  <c r="D1145" i="2"/>
  <c r="D1153" i="2"/>
  <c r="D1161" i="2"/>
  <c r="D1169" i="2"/>
  <c r="D1177" i="2"/>
  <c r="D1185" i="2"/>
  <c r="D1193" i="2"/>
  <c r="D1201" i="2"/>
  <c r="D1209" i="2"/>
  <c r="D1217" i="2"/>
  <c r="D1225" i="2"/>
  <c r="D1233" i="2"/>
  <c r="D1241" i="2"/>
  <c r="D1249" i="2"/>
  <c r="D1257" i="2"/>
  <c r="D1265" i="2"/>
  <c r="D1273" i="2"/>
  <c r="D1281" i="2"/>
  <c r="D1289" i="2"/>
  <c r="D1297" i="2"/>
  <c r="D1305" i="2"/>
  <c r="D1313" i="2"/>
  <c r="D1321" i="2"/>
  <c r="D1329" i="2"/>
  <c r="D1337" i="2"/>
  <c r="D1345" i="2"/>
  <c r="D1353" i="2"/>
  <c r="D1361" i="2"/>
  <c r="D1369" i="2"/>
  <c r="D1377" i="2"/>
  <c r="D1385" i="2"/>
  <c r="D1393" i="2"/>
  <c r="D1401" i="2"/>
  <c r="D1409" i="2"/>
  <c r="D1417" i="2"/>
  <c r="D1425" i="2"/>
  <c r="D1433" i="2"/>
  <c r="D1441" i="2"/>
  <c r="D1449" i="2"/>
  <c r="D1457" i="2"/>
  <c r="D1465" i="2"/>
  <c r="D1473" i="2"/>
  <c r="D1481" i="2"/>
  <c r="D1489" i="2"/>
  <c r="D1497" i="2"/>
  <c r="D1505" i="2"/>
  <c r="D1513" i="2"/>
  <c r="D1521" i="2"/>
  <c r="D1529" i="2"/>
  <c r="D1537" i="2"/>
  <c r="D1034" i="2"/>
  <c r="D1042" i="2"/>
  <c r="D1050" i="2"/>
  <c r="D1058" i="2"/>
  <c r="D1066" i="2"/>
  <c r="D1074" i="2"/>
  <c r="D1082" i="2"/>
  <c r="D1090" i="2"/>
  <c r="D1098" i="2"/>
  <c r="D1106" i="2"/>
  <c r="D1114" i="2"/>
  <c r="D1122" i="2"/>
  <c r="D1130" i="2"/>
  <c r="D1138" i="2"/>
  <c r="D1146" i="2"/>
  <c r="D1154" i="2"/>
  <c r="D1162" i="2"/>
  <c r="D1170" i="2"/>
  <c r="D1178" i="2"/>
  <c r="D1186" i="2"/>
  <c r="D1194" i="2"/>
  <c r="D1202" i="2"/>
  <c r="D1210" i="2"/>
  <c r="D1218" i="2"/>
  <c r="D1226" i="2"/>
  <c r="D1234" i="2"/>
  <c r="D1242" i="2"/>
  <c r="D1250" i="2"/>
  <c r="D1258" i="2"/>
  <c r="D1266" i="2"/>
  <c r="D1274" i="2"/>
  <c r="D1282" i="2"/>
  <c r="D1290" i="2"/>
  <c r="D1298" i="2"/>
  <c r="D1306" i="2"/>
  <c r="D1314" i="2"/>
  <c r="D1322" i="2"/>
  <c r="D1330" i="2"/>
  <c r="D1338" i="2"/>
  <c r="D1346" i="2"/>
  <c r="D1354" i="2"/>
  <c r="D1362" i="2"/>
  <c r="D1370" i="2"/>
  <c r="D1378" i="2"/>
  <c r="D1386" i="2"/>
  <c r="D1394" i="2"/>
  <c r="D1402" i="2"/>
  <c r="D1410" i="2"/>
  <c r="D1418" i="2"/>
  <c r="D1426" i="2"/>
  <c r="D1434" i="2"/>
  <c r="D1442" i="2"/>
  <c r="D1450" i="2"/>
  <c r="D1458" i="2"/>
  <c r="D1466" i="2"/>
  <c r="D1474" i="2"/>
  <c r="D1482" i="2"/>
  <c r="D1490" i="2"/>
  <c r="D1498" i="2"/>
  <c r="D1506" i="2"/>
  <c r="D1514" i="2"/>
  <c r="D1522" i="2"/>
  <c r="D1530" i="2"/>
  <c r="D1538" i="2"/>
  <c r="D1546" i="2"/>
  <c r="D1554" i="2"/>
  <c r="D1562" i="2"/>
  <c r="D1570" i="2"/>
  <c r="D1578" i="2"/>
  <c r="D1586" i="2"/>
  <c r="D1594" i="2"/>
  <c r="D1602" i="2"/>
  <c r="D1610" i="2"/>
  <c r="D1618" i="2"/>
  <c r="D1626" i="2"/>
  <c r="D1634" i="2"/>
  <c r="D1642" i="2"/>
  <c r="D1650" i="2"/>
  <c r="D1658" i="2"/>
  <c r="D1666" i="2"/>
  <c r="D1674" i="2"/>
  <c r="D1682" i="2"/>
  <c r="D1690" i="2"/>
  <c r="D1698" i="2"/>
  <c r="D1706" i="2"/>
  <c r="D1035" i="2"/>
  <c r="D1043" i="2"/>
  <c r="D1051" i="2"/>
  <c r="D1059" i="2"/>
  <c r="D1067" i="2"/>
  <c r="D1075" i="2"/>
  <c r="D1083" i="2"/>
  <c r="D1091" i="2"/>
  <c r="D1099" i="2"/>
  <c r="D1107" i="2"/>
  <c r="D1115" i="2"/>
  <c r="D1123" i="2"/>
  <c r="D1131" i="2"/>
  <c r="D1139" i="2"/>
  <c r="D1147" i="2"/>
  <c r="D1155" i="2"/>
  <c r="D1163" i="2"/>
  <c r="D1171" i="2"/>
  <c r="D1179" i="2"/>
  <c r="D1187" i="2"/>
  <c r="D1195" i="2"/>
  <c r="D1203" i="2"/>
  <c r="D1211" i="2"/>
  <c r="D1219" i="2"/>
  <c r="D1227" i="2"/>
  <c r="D1235" i="2"/>
  <c r="D1243" i="2"/>
  <c r="D1251" i="2"/>
  <c r="D1259" i="2"/>
  <c r="D1267" i="2"/>
  <c r="D1275" i="2"/>
  <c r="D1283" i="2"/>
  <c r="D1291" i="2"/>
  <c r="D1299" i="2"/>
  <c r="D1307" i="2"/>
  <c r="D1315" i="2"/>
  <c r="D1323" i="2"/>
  <c r="D1331" i="2"/>
  <c r="D1339" i="2"/>
  <c r="D1347" i="2"/>
  <c r="D1355" i="2"/>
  <c r="D1363" i="2"/>
  <c r="D1371" i="2"/>
  <c r="D1379" i="2"/>
  <c r="D1387" i="2"/>
  <c r="D1395" i="2"/>
  <c r="D1403" i="2"/>
  <c r="D1411" i="2"/>
  <c r="D1419" i="2"/>
  <c r="D1427" i="2"/>
  <c r="D1435" i="2"/>
  <c r="D1443" i="2"/>
  <c r="D1451" i="2"/>
  <c r="D1459" i="2"/>
  <c r="D1467" i="2"/>
  <c r="D1475" i="2"/>
  <c r="D1483" i="2"/>
  <c r="D1491" i="2"/>
  <c r="D1499" i="2"/>
  <c r="D1507" i="2"/>
  <c r="D1515" i="2"/>
  <c r="D1523" i="2"/>
  <c r="D1531" i="2"/>
  <c r="D1539" i="2"/>
  <c r="D1547" i="2"/>
  <c r="D1555" i="2"/>
  <c r="D1563" i="2"/>
  <c r="D1571" i="2"/>
  <c r="D1579" i="2"/>
  <c r="D1587" i="2"/>
  <c r="D1595" i="2"/>
  <c r="D1036" i="2"/>
  <c r="D1044" i="2"/>
  <c r="D1052" i="2"/>
  <c r="D1060" i="2"/>
  <c r="D1068" i="2"/>
  <c r="D1076" i="2"/>
  <c r="D1084" i="2"/>
  <c r="D1092" i="2"/>
  <c r="D1100" i="2"/>
  <c r="D1108" i="2"/>
  <c r="D1116" i="2"/>
  <c r="D1124" i="2"/>
  <c r="D1132" i="2"/>
  <c r="D1140" i="2"/>
  <c r="D1148" i="2"/>
  <c r="D1156" i="2"/>
  <c r="D1164" i="2"/>
  <c r="D1172" i="2"/>
  <c r="D1180" i="2"/>
  <c r="D1188" i="2"/>
  <c r="D1196" i="2"/>
  <c r="D1204" i="2"/>
  <c r="D1212" i="2"/>
  <c r="D1220" i="2"/>
  <c r="D1228" i="2"/>
  <c r="D1236" i="2"/>
  <c r="D1244" i="2"/>
  <c r="D1252" i="2"/>
  <c r="D1260" i="2"/>
  <c r="D1268" i="2"/>
  <c r="D1276" i="2"/>
  <c r="D1284" i="2"/>
  <c r="D1292" i="2"/>
  <c r="D1300" i="2"/>
  <c r="D1308" i="2"/>
  <c r="D1316" i="2"/>
  <c r="D1324" i="2"/>
  <c r="D1332" i="2"/>
  <c r="D1340" i="2"/>
  <c r="D1348" i="2"/>
  <c r="D1356" i="2"/>
  <c r="D1364" i="2"/>
  <c r="D1372" i="2"/>
  <c r="D1380" i="2"/>
  <c r="D1388" i="2"/>
  <c r="D1396" i="2"/>
  <c r="D1404" i="2"/>
  <c r="D1412" i="2"/>
  <c r="D1420" i="2"/>
  <c r="D1428" i="2"/>
  <c r="D1436" i="2"/>
  <c r="D1444" i="2"/>
  <c r="D1452" i="2"/>
  <c r="D1460" i="2"/>
  <c r="D1468" i="2"/>
  <c r="D1476" i="2"/>
  <c r="D1484" i="2"/>
  <c r="D1492" i="2"/>
  <c r="D1500" i="2"/>
  <c r="D1508" i="2"/>
  <c r="D1516" i="2"/>
  <c r="D1524" i="2"/>
  <c r="D1532" i="2"/>
  <c r="D1540" i="2"/>
  <c r="D1548" i="2"/>
  <c r="D1556" i="2"/>
  <c r="D1564" i="2"/>
  <c r="D1037" i="2"/>
  <c r="D1045" i="2"/>
  <c r="D1053" i="2"/>
  <c r="D1061" i="2"/>
  <c r="D1069" i="2"/>
  <c r="D1077" i="2"/>
  <c r="D1085" i="2"/>
  <c r="D1093" i="2"/>
  <c r="D1101" i="2"/>
  <c r="D1109" i="2"/>
  <c r="D1117" i="2"/>
  <c r="D1125" i="2"/>
  <c r="D1133" i="2"/>
  <c r="D1141" i="2"/>
  <c r="D1149" i="2"/>
  <c r="D1157" i="2"/>
  <c r="D1165" i="2"/>
  <c r="D1173" i="2"/>
  <c r="D1181" i="2"/>
  <c r="D1189" i="2"/>
  <c r="D1197" i="2"/>
  <c r="D1205" i="2"/>
  <c r="D1213" i="2"/>
  <c r="D1221" i="2"/>
  <c r="D1229" i="2"/>
  <c r="D1237" i="2"/>
  <c r="D1245" i="2"/>
  <c r="D1253" i="2"/>
  <c r="D1261" i="2"/>
  <c r="D1269" i="2"/>
  <c r="D1277" i="2"/>
  <c r="D1285" i="2"/>
  <c r="D1293" i="2"/>
  <c r="D1301" i="2"/>
  <c r="D1309" i="2"/>
  <c r="D1317" i="2"/>
  <c r="D1325" i="2"/>
  <c r="D1333" i="2"/>
  <c r="D1341" i="2"/>
  <c r="D1349" i="2"/>
  <c r="D1357" i="2"/>
  <c r="D1365" i="2"/>
  <c r="D1373" i="2"/>
  <c r="D1381" i="2"/>
  <c r="D1389" i="2"/>
  <c r="D1397" i="2"/>
  <c r="D1405" i="2"/>
  <c r="D1413" i="2"/>
  <c r="D1421" i="2"/>
  <c r="D1429" i="2"/>
  <c r="D1437" i="2"/>
  <c r="D1445" i="2"/>
  <c r="D1453" i="2"/>
  <c r="D1461" i="2"/>
  <c r="D1469" i="2"/>
  <c r="D1477" i="2"/>
  <c r="D1485" i="2"/>
  <c r="D1493" i="2"/>
  <c r="D1501" i="2"/>
  <c r="D1509" i="2"/>
  <c r="D1517" i="2"/>
  <c r="D1525" i="2"/>
  <c r="D1533" i="2"/>
  <c r="D1541" i="2"/>
  <c r="D1549" i="2"/>
  <c r="D1557" i="2"/>
  <c r="D1565" i="2"/>
  <c r="D1573" i="2"/>
  <c r="D1581" i="2"/>
  <c r="D1589" i="2"/>
  <c r="D1597" i="2"/>
  <c r="D1038" i="2"/>
  <c r="D1046" i="2"/>
  <c r="D1054" i="2"/>
  <c r="D1062" i="2"/>
  <c r="D1070" i="2"/>
  <c r="D1078" i="2"/>
  <c r="D1086" i="2"/>
  <c r="D1094" i="2"/>
  <c r="D1102" i="2"/>
  <c r="D1110" i="2"/>
  <c r="D1118" i="2"/>
  <c r="D1126" i="2"/>
  <c r="D1134" i="2"/>
  <c r="D1142" i="2"/>
  <c r="D1150" i="2"/>
  <c r="D1158" i="2"/>
  <c r="D1166" i="2"/>
  <c r="D1174" i="2"/>
  <c r="D1182" i="2"/>
  <c r="D1190" i="2"/>
  <c r="D1198" i="2"/>
  <c r="D1206" i="2"/>
  <c r="D1214" i="2"/>
  <c r="D1222" i="2"/>
  <c r="D1230" i="2"/>
  <c r="D1238" i="2"/>
  <c r="D1246" i="2"/>
  <c r="D1254" i="2"/>
  <c r="D1262" i="2"/>
  <c r="D1270" i="2"/>
  <c r="D1278" i="2"/>
  <c r="D1286" i="2"/>
  <c r="D1294" i="2"/>
  <c r="D1302" i="2"/>
  <c r="D1310" i="2"/>
  <c r="D1318" i="2"/>
  <c r="D1326" i="2"/>
  <c r="D1334" i="2"/>
  <c r="D1342" i="2"/>
  <c r="D1350" i="2"/>
  <c r="D1358" i="2"/>
  <c r="D1366" i="2"/>
  <c r="D1374" i="2"/>
  <c r="D1382" i="2"/>
  <c r="D1390" i="2"/>
  <c r="D1398" i="2"/>
  <c r="D1406" i="2"/>
  <c r="D1414" i="2"/>
  <c r="D1422" i="2"/>
  <c r="D1430" i="2"/>
  <c r="D1438" i="2"/>
  <c r="D1446" i="2"/>
  <c r="D1454" i="2"/>
  <c r="D1462" i="2"/>
  <c r="D1470" i="2"/>
  <c r="D1478" i="2"/>
  <c r="D1486" i="2"/>
  <c r="D1494" i="2"/>
  <c r="D1502" i="2"/>
  <c r="D1510" i="2"/>
  <c r="D1039" i="2"/>
  <c r="D1047" i="2"/>
  <c r="D1055" i="2"/>
  <c r="D1063" i="2"/>
  <c r="D1071" i="2"/>
  <c r="D1079" i="2"/>
  <c r="D1087" i="2"/>
  <c r="D1095" i="2"/>
  <c r="D1103" i="2"/>
  <c r="D1111" i="2"/>
  <c r="D1119" i="2"/>
  <c r="D1127" i="2"/>
  <c r="D1135" i="2"/>
  <c r="D1143" i="2"/>
  <c r="D1151" i="2"/>
  <c r="D1159" i="2"/>
  <c r="D1167" i="2"/>
  <c r="D1175" i="2"/>
  <c r="D1183" i="2"/>
  <c r="D1191" i="2"/>
  <c r="D1199" i="2"/>
  <c r="D1207" i="2"/>
  <c r="D1215" i="2"/>
  <c r="D1223" i="2"/>
  <c r="D1231" i="2"/>
  <c r="D1239" i="2"/>
  <c r="D1247" i="2"/>
  <c r="D1255" i="2"/>
  <c r="D1263" i="2"/>
  <c r="D1271" i="2"/>
  <c r="D1279" i="2"/>
  <c r="D1287" i="2"/>
  <c r="D1295" i="2"/>
  <c r="D1303" i="2"/>
  <c r="D1311" i="2"/>
  <c r="D1319" i="2"/>
  <c r="D1327" i="2"/>
  <c r="D1335" i="2"/>
  <c r="D1343" i="2"/>
  <c r="D1351" i="2"/>
  <c r="D1359" i="2"/>
  <c r="D1367" i="2"/>
  <c r="D1375" i="2"/>
  <c r="D1383" i="2"/>
  <c r="D1391" i="2"/>
  <c r="D1399" i="2"/>
  <c r="D1407" i="2"/>
  <c r="D1415" i="2"/>
  <c r="D1423" i="2"/>
  <c r="D1431" i="2"/>
  <c r="D1439" i="2"/>
  <c r="D1447" i="2"/>
  <c r="D1455" i="2"/>
  <c r="D1463" i="2"/>
  <c r="D1471" i="2"/>
  <c r="D1479" i="2"/>
  <c r="D1487" i="2"/>
  <c r="D1495" i="2"/>
  <c r="D1503" i="2"/>
  <c r="D1511" i="2"/>
  <c r="D1519" i="2"/>
  <c r="D1527" i="2"/>
  <c r="D1535" i="2"/>
  <c r="D1543" i="2"/>
  <c r="D1551" i="2"/>
  <c r="D1559" i="2"/>
  <c r="D1567" i="2"/>
  <c r="D1575" i="2"/>
  <c r="D1583" i="2"/>
  <c r="D1591" i="2"/>
  <c r="D1599" i="2"/>
  <c r="D1607" i="2"/>
  <c r="D1615" i="2"/>
  <c r="D1623" i="2"/>
  <c r="D1631" i="2"/>
  <c r="D1639" i="2"/>
  <c r="D1647" i="2"/>
  <c r="D1655" i="2"/>
  <c r="D1663" i="2"/>
  <c r="D1671" i="2"/>
  <c r="D1679" i="2"/>
  <c r="D1687" i="2"/>
  <c r="D1695" i="2"/>
  <c r="D1703" i="2"/>
  <c r="D1711" i="2"/>
  <c r="D1040" i="2"/>
  <c r="D1048" i="2"/>
  <c r="D1056" i="2"/>
  <c r="D1064" i="2"/>
  <c r="D1072" i="2"/>
  <c r="D1080" i="2"/>
  <c r="D1088" i="2"/>
  <c r="D1096" i="2"/>
  <c r="D1104" i="2"/>
  <c r="D1112" i="2"/>
  <c r="D1120" i="2"/>
  <c r="D1128" i="2"/>
  <c r="D1136" i="2"/>
  <c r="D1144" i="2"/>
  <c r="D1152" i="2"/>
  <c r="D1160" i="2"/>
  <c r="D1168" i="2"/>
  <c r="D1176" i="2"/>
  <c r="D1184" i="2"/>
  <c r="D1192" i="2"/>
  <c r="D1200" i="2"/>
  <c r="D1208" i="2"/>
  <c r="D1216" i="2"/>
  <c r="D1224" i="2"/>
  <c r="D1232" i="2"/>
  <c r="D1240" i="2"/>
  <c r="D1248" i="2"/>
  <c r="D1256" i="2"/>
  <c r="D1264" i="2"/>
  <c r="D1272" i="2"/>
  <c r="D1280" i="2"/>
  <c r="D1288" i="2"/>
  <c r="D1296" i="2"/>
  <c r="D1304" i="2"/>
  <c r="D1312" i="2"/>
  <c r="D1320" i="2"/>
  <c r="D1328" i="2"/>
  <c r="D1336" i="2"/>
  <c r="D1344" i="2"/>
  <c r="D1352" i="2"/>
  <c r="D1360" i="2"/>
  <c r="D1368" i="2"/>
  <c r="D1376" i="2"/>
  <c r="D1384" i="2"/>
  <c r="D1392" i="2"/>
  <c r="D1400" i="2"/>
  <c r="D1408" i="2"/>
  <c r="D1416" i="2"/>
  <c r="D1424" i="2"/>
  <c r="D1432" i="2"/>
  <c r="D1440" i="2"/>
  <c r="D1448" i="2"/>
  <c r="D1456" i="2"/>
  <c r="D1464" i="2"/>
  <c r="D1472" i="2"/>
  <c r="D1480" i="2"/>
  <c r="D1488" i="2"/>
  <c r="D1496" i="2"/>
  <c r="D1504" i="2"/>
  <c r="D1512" i="2"/>
  <c r="D1520" i="2"/>
  <c r="D1528" i="2"/>
  <c r="D1536" i="2"/>
  <c r="D1544" i="2"/>
  <c r="D1552" i="2"/>
  <c r="D1560" i="2"/>
  <c r="D1568" i="2"/>
  <c r="D1576" i="2"/>
  <c r="D1584" i="2"/>
  <c r="D1592" i="2"/>
  <c r="D1600" i="2"/>
  <c r="D1608" i="2"/>
  <c r="D1616" i="2"/>
  <c r="D1624" i="2"/>
  <c r="D1632" i="2"/>
  <c r="D1640" i="2"/>
  <c r="D1648" i="2"/>
  <c r="D1656" i="2"/>
  <c r="D1664" i="2"/>
  <c r="D1672" i="2"/>
  <c r="D1680" i="2"/>
  <c r="D1688" i="2"/>
  <c r="D1696" i="2"/>
  <c r="D1704" i="2"/>
  <c r="D1712" i="2"/>
  <c r="D1518" i="2"/>
  <c r="D1561" i="2"/>
  <c r="D1585" i="2"/>
  <c r="D1604" i="2"/>
  <c r="D1617" i="2"/>
  <c r="D1629" i="2"/>
  <c r="D1643" i="2"/>
  <c r="D1654" i="2"/>
  <c r="D1668" i="2"/>
  <c r="D1681" i="2"/>
  <c r="D1693" i="2"/>
  <c r="D1707" i="2"/>
  <c r="D1717" i="2"/>
  <c r="D1725" i="2"/>
  <c r="D1733" i="2"/>
  <c r="D1741" i="2"/>
  <c r="D1749" i="2"/>
  <c r="D1757" i="2"/>
  <c r="D1765" i="2"/>
  <c r="D1773" i="2"/>
  <c r="D1781" i="2"/>
  <c r="D1789" i="2"/>
  <c r="D1797" i="2"/>
  <c r="D1776" i="2"/>
  <c r="D1784" i="2"/>
  <c r="D1526" i="2"/>
  <c r="D1566" i="2"/>
  <c r="D1588" i="2"/>
  <c r="D1605" i="2"/>
  <c r="D1619" i="2"/>
  <c r="D1630" i="2"/>
  <c r="D1644" i="2"/>
  <c r="D1657" i="2"/>
  <c r="D1669" i="2"/>
  <c r="D1683" i="2"/>
  <c r="D1694" i="2"/>
  <c r="D1708" i="2"/>
  <c r="D1718" i="2"/>
  <c r="D1726" i="2"/>
  <c r="D1734" i="2"/>
  <c r="D1742" i="2"/>
  <c r="D1750" i="2"/>
  <c r="D1758" i="2"/>
  <c r="D1766" i="2"/>
  <c r="D1774" i="2"/>
  <c r="D1782" i="2"/>
  <c r="D1790" i="2"/>
  <c r="D1798" i="2"/>
  <c r="D1752" i="2"/>
  <c r="D1792" i="2"/>
  <c r="D1534" i="2"/>
  <c r="D1569" i="2"/>
  <c r="D1590" i="2"/>
  <c r="D1606" i="2"/>
  <c r="D1620" i="2"/>
  <c r="D1633" i="2"/>
  <c r="D1645" i="2"/>
  <c r="D1659" i="2"/>
  <c r="D1670" i="2"/>
  <c r="D1684" i="2"/>
  <c r="D1697" i="2"/>
  <c r="D1709" i="2"/>
  <c r="D1719" i="2"/>
  <c r="D1727" i="2"/>
  <c r="D1735" i="2"/>
  <c r="D1743" i="2"/>
  <c r="D1751" i="2"/>
  <c r="D1759" i="2"/>
  <c r="D1767" i="2"/>
  <c r="D1775" i="2"/>
  <c r="D1783" i="2"/>
  <c r="D1791" i="2"/>
  <c r="D1799" i="2"/>
  <c r="D1760" i="2"/>
  <c r="D1800" i="2"/>
  <c r="D1542" i="2"/>
  <c r="D1572" i="2"/>
  <c r="D1593" i="2"/>
  <c r="D1609" i="2"/>
  <c r="D1621" i="2"/>
  <c r="D1635" i="2"/>
  <c r="D1646" i="2"/>
  <c r="D1660" i="2"/>
  <c r="D1673" i="2"/>
  <c r="D1685" i="2"/>
  <c r="D1699" i="2"/>
  <c r="D1710" i="2"/>
  <c r="D1720" i="2"/>
  <c r="D1728" i="2"/>
  <c r="D1736" i="2"/>
  <c r="D1744" i="2"/>
  <c r="D1545" i="2"/>
  <c r="D1574" i="2"/>
  <c r="D1596" i="2"/>
  <c r="D1611" i="2"/>
  <c r="D1622" i="2"/>
  <c r="D1636" i="2"/>
  <c r="D1649" i="2"/>
  <c r="D1661" i="2"/>
  <c r="D1675" i="2"/>
  <c r="D1686" i="2"/>
  <c r="D1700" i="2"/>
  <c r="D1713" i="2"/>
  <c r="D1721" i="2"/>
  <c r="D1729" i="2"/>
  <c r="D1737" i="2"/>
  <c r="D1745" i="2"/>
  <c r="D1753" i="2"/>
  <c r="D1761" i="2"/>
  <c r="D1769" i="2"/>
  <c r="D1777" i="2"/>
  <c r="D1785" i="2"/>
  <c r="D1793" i="2"/>
  <c r="D1801" i="2"/>
  <c r="D1580" i="2"/>
  <c r="D1627" i="2"/>
  <c r="D1652" i="2"/>
  <c r="D1691" i="2"/>
  <c r="D1715" i="2"/>
  <c r="D1731" i="2"/>
  <c r="D1747" i="2"/>
  <c r="D1763" i="2"/>
  <c r="D1779" i="2"/>
  <c r="D1795" i="2"/>
  <c r="D1550" i="2"/>
  <c r="D1577" i="2"/>
  <c r="D1598" i="2"/>
  <c r="D1612" i="2"/>
  <c r="D1625" i="2"/>
  <c r="D1637" i="2"/>
  <c r="D1651" i="2"/>
  <c r="D1662" i="2"/>
  <c r="D1676" i="2"/>
  <c r="D1689" i="2"/>
  <c r="D1701" i="2"/>
  <c r="D1714" i="2"/>
  <c r="D1722" i="2"/>
  <c r="D1730" i="2"/>
  <c r="D1738" i="2"/>
  <c r="D1746" i="2"/>
  <c r="D1754" i="2"/>
  <c r="D1762" i="2"/>
  <c r="D1770" i="2"/>
  <c r="D1778" i="2"/>
  <c r="D1786" i="2"/>
  <c r="D1794" i="2"/>
  <c r="D1802" i="2"/>
  <c r="D1553" i="2"/>
  <c r="D1601" i="2"/>
  <c r="D1613" i="2"/>
  <c r="D1638" i="2"/>
  <c r="D1665" i="2"/>
  <c r="D1677" i="2"/>
  <c r="D1702" i="2"/>
  <c r="D1723" i="2"/>
  <c r="D1739" i="2"/>
  <c r="D1755" i="2"/>
  <c r="D1771" i="2"/>
  <c r="D1787" i="2"/>
  <c r="D1558" i="2"/>
  <c r="D1582" i="2"/>
  <c r="D1603" i="2"/>
  <c r="D1614" i="2"/>
  <c r="D1628" i="2"/>
  <c r="D1641" i="2"/>
  <c r="D1653" i="2"/>
  <c r="D1667" i="2"/>
  <c r="D1678" i="2"/>
  <c r="D1692" i="2"/>
  <c r="D1705" i="2"/>
  <c r="D1716" i="2"/>
  <c r="D1724" i="2"/>
  <c r="D1732" i="2"/>
  <c r="D1740" i="2"/>
  <c r="D1748" i="2"/>
  <c r="D1756" i="2"/>
  <c r="D1764" i="2"/>
  <c r="D1772" i="2"/>
  <c r="D1780" i="2"/>
  <c r="D1788" i="2"/>
  <c r="D1796" i="2"/>
  <c r="D1768" i="2"/>
  <c r="D995" i="2"/>
  <c r="D1003" i="2"/>
  <c r="D1011" i="2"/>
  <c r="D1019" i="2"/>
  <c r="D1027" i="2"/>
  <c r="D1026" i="2"/>
  <c r="D996" i="2"/>
  <c r="D1004" i="2"/>
  <c r="D1012" i="2"/>
  <c r="D1020" i="2"/>
  <c r="D1028" i="2"/>
  <c r="D997" i="2"/>
  <c r="D1005" i="2"/>
  <c r="D1013" i="2"/>
  <c r="D1021" i="2"/>
  <c r="D1029" i="2"/>
  <c r="D998" i="2"/>
  <c r="D1006" i="2"/>
  <c r="D1014" i="2"/>
  <c r="D1022" i="2"/>
  <c r="D1030" i="2"/>
  <c r="D999" i="2"/>
  <c r="D1007" i="2"/>
  <c r="D1015" i="2"/>
  <c r="D1023" i="2"/>
  <c r="D1031" i="2"/>
  <c r="D1018" i="2"/>
  <c r="D1000" i="2"/>
  <c r="D1008" i="2"/>
  <c r="D1016" i="2"/>
  <c r="D1024" i="2"/>
  <c r="D1032" i="2"/>
  <c r="D1002" i="2"/>
  <c r="D1001" i="2"/>
  <c r="D1009" i="2"/>
  <c r="D1017" i="2"/>
  <c r="D1025" i="2"/>
  <c r="D1010" i="2"/>
  <c r="D979" i="2"/>
  <c r="D143" i="2"/>
  <c r="D71" i="2"/>
  <c r="D712" i="2"/>
  <c r="D308" i="2"/>
  <c r="D3" i="2"/>
  <c r="D819" i="2"/>
  <c r="D505" i="2"/>
  <c r="D283" i="2"/>
  <c r="D161" i="2"/>
  <c r="D118" i="2"/>
  <c r="D31" i="2"/>
  <c r="D898" i="2"/>
  <c r="D980" i="2"/>
  <c r="D555" i="2"/>
  <c r="D243" i="2"/>
  <c r="D714" i="2"/>
  <c r="D384" i="2"/>
  <c r="D383" i="2"/>
  <c r="D978" i="2"/>
  <c r="D713" i="2"/>
  <c r="D506" i="2"/>
  <c r="D73" i="2"/>
  <c r="D458" i="2"/>
  <c r="D711" i="2"/>
  <c r="D307" i="2"/>
  <c r="D482" i="2"/>
  <c r="D399" i="2"/>
  <c r="D557" i="2"/>
  <c r="D171" i="2"/>
  <c r="D984" i="2"/>
  <c r="D817" i="2"/>
  <c r="D811" i="2"/>
  <c r="D550" i="2"/>
  <c r="D708" i="2"/>
  <c r="D454" i="2"/>
  <c r="D452" i="2"/>
  <c r="D795" i="2"/>
  <c r="D137" i="2"/>
  <c r="D346" i="2"/>
  <c r="D944" i="2"/>
  <c r="D692" i="2"/>
  <c r="D535" i="2"/>
  <c r="D320" i="2"/>
  <c r="D929" i="2"/>
  <c r="D783" i="2"/>
  <c r="D231" i="2"/>
  <c r="D57" i="2"/>
  <c r="D386" i="2"/>
  <c r="D222" i="2"/>
  <c r="D206" i="2"/>
  <c r="D353" i="2"/>
  <c r="D24" i="2"/>
  <c r="D72" i="2"/>
  <c r="D614" i="2"/>
  <c r="D702" i="2"/>
  <c r="D148" i="2"/>
  <c r="D348" i="2"/>
  <c r="D407" i="2"/>
  <c r="D448" i="2"/>
  <c r="D940" i="2"/>
  <c r="D264" i="2"/>
  <c r="D446" i="2"/>
  <c r="D680" i="2"/>
  <c r="D599" i="2"/>
  <c r="D489" i="2"/>
  <c r="D145" i="2"/>
  <c r="D371" i="2"/>
  <c r="D438" i="2"/>
  <c r="D226" i="2"/>
  <c r="D902" i="2"/>
  <c r="D892" i="2"/>
  <c r="D762" i="2"/>
  <c r="D260" i="2"/>
  <c r="D524" i="2"/>
  <c r="D652" i="2"/>
  <c r="D579" i="2"/>
  <c r="D314" i="2"/>
  <c r="D578" i="2"/>
  <c r="D426" i="2"/>
  <c r="D210" i="2"/>
  <c r="D270" i="2"/>
  <c r="D646" i="2"/>
  <c r="D748" i="2"/>
  <c r="D189" i="2"/>
  <c r="D994" i="2"/>
  <c r="D460" i="2"/>
  <c r="D821" i="2"/>
  <c r="D382" i="2"/>
  <c r="D620" i="2"/>
  <c r="D808" i="2"/>
  <c r="D618" i="2"/>
  <c r="D23" i="2"/>
  <c r="D546" i="2"/>
  <c r="D33" i="2"/>
  <c r="D378" i="2"/>
  <c r="D698" i="2"/>
  <c r="D447" i="2"/>
  <c r="D690" i="2"/>
  <c r="D493" i="2"/>
  <c r="D931" i="2"/>
  <c r="D679" i="2"/>
  <c r="D414" i="2"/>
  <c r="D74" i="2"/>
  <c r="D459" i="2"/>
  <c r="D242" i="2"/>
  <c r="D220" i="2"/>
  <c r="D965" i="2"/>
  <c r="D801" i="2"/>
  <c r="D547" i="2"/>
  <c r="D281" i="2"/>
  <c r="D28" i="2"/>
  <c r="D697" i="2"/>
  <c r="D537" i="2"/>
  <c r="D495" i="2"/>
  <c r="D108" i="2"/>
  <c r="D685" i="2"/>
  <c r="D600" i="2"/>
  <c r="D373" i="2"/>
  <c r="D440" i="2"/>
  <c r="D369" i="2"/>
  <c r="D772" i="2"/>
  <c r="D907" i="2"/>
  <c r="D434" i="2"/>
  <c r="D479" i="2"/>
  <c r="D586" i="2"/>
  <c r="D882" i="2"/>
  <c r="D211" i="2"/>
  <c r="D312" i="2"/>
  <c r="D988" i="2"/>
  <c r="D245" i="2"/>
  <c r="D412" i="2"/>
  <c r="D815" i="2"/>
  <c r="D411" i="2"/>
  <c r="D327" i="2"/>
  <c r="D170" i="2"/>
  <c r="D138" i="2"/>
  <c r="D798" i="2"/>
  <c r="D409" i="2"/>
  <c r="D450" i="2"/>
  <c r="D241" i="2"/>
  <c r="D946" i="2"/>
  <c r="D941" i="2"/>
  <c r="D607" i="2"/>
  <c r="D55" i="2"/>
  <c r="D604" i="2"/>
  <c r="D442" i="2"/>
  <c r="D508" i="2"/>
  <c r="D132" i="2"/>
  <c r="D623" i="2"/>
  <c r="D974" i="2"/>
  <c r="D551" i="2"/>
  <c r="D807" i="2"/>
  <c r="D126" i="2"/>
  <c r="D95" i="2"/>
  <c r="D157" i="2"/>
  <c r="D408" i="2"/>
  <c r="D195" i="2"/>
  <c r="D136" i="2"/>
  <c r="D943" i="2"/>
  <c r="D937" i="2"/>
  <c r="D689" i="2"/>
  <c r="D156" i="2"/>
  <c r="D492" i="2"/>
  <c r="D298" i="2"/>
  <c r="D490" i="2"/>
  <c r="D919" i="2"/>
  <c r="D236" i="2"/>
  <c r="D368" i="2"/>
  <c r="D30" i="2"/>
  <c r="D904" i="2"/>
  <c r="D201" i="2"/>
  <c r="D274" i="2"/>
  <c r="D582" i="2"/>
  <c r="D155" i="2"/>
  <c r="D870" i="2"/>
  <c r="D516" i="2"/>
  <c r="D865" i="2"/>
  <c r="D420" i="2"/>
  <c r="D388" i="2"/>
  <c r="D634" i="2"/>
  <c r="D464" i="2"/>
  <c r="D832" i="2"/>
  <c r="D172" i="2"/>
  <c r="D6" i="2"/>
  <c r="D159" i="2"/>
  <c r="D199" i="2"/>
  <c r="D455" i="2"/>
  <c r="D142" i="2"/>
  <c r="D21" i="2"/>
  <c r="D617" i="2"/>
  <c r="D959" i="2"/>
  <c r="D544" i="2"/>
  <c r="D177" i="2"/>
  <c r="D279" i="2"/>
  <c r="D539" i="2"/>
  <c r="D322" i="2"/>
  <c r="D688" i="2"/>
  <c r="D65" i="2"/>
  <c r="D785" i="2"/>
  <c r="D342" i="2"/>
  <c r="D153" i="2"/>
  <c r="D920" i="2"/>
  <c r="D214" i="2"/>
  <c r="D297" i="2"/>
  <c r="D437" i="2"/>
  <c r="D770" i="2"/>
  <c r="D483" i="2"/>
  <c r="D903" i="2"/>
  <c r="D589" i="2"/>
  <c r="D478" i="2"/>
  <c r="D888" i="2"/>
  <c r="D887" i="2"/>
  <c r="D581" i="2"/>
  <c r="D580" i="2"/>
  <c r="D105" i="2"/>
  <c r="D650" i="2"/>
  <c r="D752" i="2"/>
  <c r="D111" i="2"/>
  <c r="D135" i="2"/>
  <c r="D94" i="2"/>
  <c r="D467" i="2"/>
  <c r="D333" i="2"/>
  <c r="D101" i="2"/>
  <c r="D842" i="2"/>
  <c r="D632" i="2"/>
  <c r="D720" i="2"/>
  <c r="D558" i="2"/>
  <c r="D88" i="2"/>
  <c r="D983" i="2"/>
  <c r="D553" i="2"/>
  <c r="D973" i="2"/>
  <c r="D185" i="2"/>
  <c r="D122" i="2"/>
  <c r="D963" i="2"/>
  <c r="D961" i="2"/>
  <c r="D282" i="2"/>
  <c r="D950" i="2"/>
  <c r="D792" i="2"/>
  <c r="D300" i="2"/>
  <c r="D939" i="2"/>
  <c r="D321" i="2"/>
  <c r="D934" i="2"/>
  <c r="D445" i="2"/>
  <c r="D343" i="2"/>
  <c r="D36" i="2"/>
  <c r="D127" i="2"/>
  <c r="D401" i="2"/>
  <c r="D665" i="2"/>
  <c r="D662" i="2"/>
  <c r="D38" i="2"/>
  <c r="D436" i="2"/>
  <c r="D901" i="2"/>
  <c r="D764" i="2"/>
  <c r="D77" i="2"/>
  <c r="D224" i="2"/>
  <c r="D886" i="2"/>
  <c r="D654" i="2"/>
  <c r="D523" i="2"/>
  <c r="D338" i="2"/>
  <c r="D755" i="2"/>
  <c r="D46" i="2"/>
  <c r="D97" i="2"/>
  <c r="D828" i="2"/>
  <c r="D187" i="2"/>
  <c r="D284" i="2"/>
  <c r="D820" i="2"/>
  <c r="D814" i="2"/>
  <c r="D619" i="2"/>
  <c r="D968" i="2"/>
  <c r="D351" i="2"/>
  <c r="D451" i="2"/>
  <c r="D947" i="2"/>
  <c r="D540" i="2"/>
  <c r="D538" i="2"/>
  <c r="D536" i="2"/>
  <c r="D184" i="2"/>
  <c r="D219" i="2"/>
  <c r="D784" i="2"/>
  <c r="D375" i="2"/>
  <c r="D595" i="2"/>
  <c r="D592" i="2"/>
  <c r="D913" i="2"/>
  <c r="D365" i="2"/>
  <c r="D867" i="2"/>
  <c r="D637" i="2"/>
  <c r="D854" i="2"/>
  <c r="D463" i="2"/>
  <c r="D310" i="2"/>
  <c r="D326" i="2"/>
  <c r="D104" i="2"/>
  <c r="D991" i="2"/>
  <c r="D989" i="2"/>
  <c r="D718" i="2"/>
  <c r="D18" i="2"/>
  <c r="D986" i="2"/>
  <c r="D716" i="2"/>
  <c r="D981" i="2"/>
  <c r="D625" i="2"/>
  <c r="D554" i="2"/>
  <c r="D330" i="2"/>
  <c r="D975" i="2"/>
  <c r="D456" i="2"/>
  <c r="D329" i="2"/>
  <c r="D809" i="2"/>
  <c r="D971" i="2"/>
  <c r="D196" i="2"/>
  <c r="D969" i="2"/>
  <c r="D966" i="2"/>
  <c r="D22" i="2"/>
  <c r="D964" i="2"/>
  <c r="D303" i="2"/>
  <c r="D453" i="2"/>
  <c r="D168" i="2"/>
  <c r="D548" i="2"/>
  <c r="D955" i="2"/>
  <c r="D953" i="2"/>
  <c r="D502" i="2"/>
  <c r="D543" i="2"/>
  <c r="D45" i="2"/>
  <c r="D26" i="2"/>
  <c r="D793" i="2"/>
  <c r="D324" i="2"/>
  <c r="D498" i="2"/>
  <c r="D993" i="2"/>
  <c r="D53" i="2"/>
  <c r="D461" i="2"/>
  <c r="D556" i="2"/>
  <c r="D825" i="2"/>
  <c r="D985" i="2"/>
  <c r="D822" i="2"/>
  <c r="D180" i="2"/>
  <c r="D622" i="2"/>
  <c r="D50" i="2"/>
  <c r="D813" i="2"/>
  <c r="D306" i="2"/>
  <c r="D221" i="2"/>
  <c r="D254" i="2"/>
  <c r="D328" i="2"/>
  <c r="D102" i="2"/>
  <c r="D806" i="2"/>
  <c r="D707" i="2"/>
  <c r="D37" i="2"/>
  <c r="D962" i="2"/>
  <c r="D616" i="2"/>
  <c r="D380" i="2"/>
  <c r="D960" i="2"/>
  <c r="D958" i="2"/>
  <c r="D954" i="2"/>
  <c r="D613" i="2"/>
  <c r="D61" i="2"/>
  <c r="D951" i="2"/>
  <c r="D949" i="2"/>
  <c r="D131" i="2"/>
  <c r="D699" i="2"/>
  <c r="D500" i="2"/>
  <c r="D205" i="2"/>
  <c r="D611" i="2"/>
  <c r="D789" i="2"/>
  <c r="D265" i="2"/>
  <c r="D67" i="2"/>
  <c r="D942" i="2"/>
  <c r="D610" i="2"/>
  <c r="D935" i="2"/>
  <c r="D608" i="2"/>
  <c r="D494" i="2"/>
  <c r="D687" i="2"/>
  <c r="D924" i="2"/>
  <c r="D777" i="2"/>
  <c r="D671" i="2"/>
  <c r="D203" i="2"/>
  <c r="D215" i="2"/>
  <c r="D372" i="2"/>
  <c r="D667" i="2"/>
  <c r="D774" i="2"/>
  <c r="D773" i="2"/>
  <c r="D227" i="2"/>
  <c r="D41" i="2"/>
  <c r="D123" i="2"/>
  <c r="D32" i="2"/>
  <c r="D771" i="2"/>
  <c r="D591" i="2"/>
  <c r="D435" i="2"/>
  <c r="D4" i="2"/>
  <c r="D767" i="2"/>
  <c r="D766" i="2"/>
  <c r="D364" i="2"/>
  <c r="D893" i="2"/>
  <c r="D763" i="2"/>
  <c r="D432" i="2"/>
  <c r="D889" i="2"/>
  <c r="D294" i="2"/>
  <c r="D167" i="2"/>
  <c r="D20" i="2"/>
  <c r="D761" i="2"/>
  <c r="D272" i="2"/>
  <c r="D200" i="2"/>
  <c r="D86" i="2"/>
  <c r="D758" i="2"/>
  <c r="D223" i="2"/>
  <c r="D756" i="2"/>
  <c r="D82" i="2"/>
  <c r="D235" i="2"/>
  <c r="D648" i="2"/>
  <c r="D647" i="2"/>
  <c r="D750" i="2"/>
  <c r="D875" i="2"/>
  <c r="D874" i="2"/>
  <c r="D871" i="2"/>
  <c r="D575" i="2"/>
  <c r="D174" i="2"/>
  <c r="D173" i="2"/>
  <c r="D573" i="2"/>
  <c r="D25" i="2"/>
  <c r="D140" i="2"/>
  <c r="D103" i="2"/>
  <c r="D735" i="2"/>
  <c r="D247" i="2"/>
  <c r="D40" i="2"/>
  <c r="D567" i="2"/>
  <c r="D729" i="2"/>
  <c r="D419" i="2"/>
  <c r="D848" i="2"/>
  <c r="D845" i="2"/>
  <c r="D85" i="2"/>
  <c r="D843" i="2"/>
  <c r="D564" i="2"/>
  <c r="D563" i="2"/>
  <c r="D833" i="2"/>
  <c r="D561" i="2"/>
  <c r="D831" i="2"/>
  <c r="D510" i="2"/>
  <c r="D387" i="2"/>
  <c r="D406" i="2"/>
  <c r="D612" i="2"/>
  <c r="D278" i="2"/>
  <c r="D355" i="2"/>
  <c r="D990" i="2"/>
  <c r="D826" i="2"/>
  <c r="D267" i="2"/>
  <c r="D824" i="2"/>
  <c r="D309" i="2"/>
  <c r="D244" i="2"/>
  <c r="D79" i="2"/>
  <c r="D507" i="2"/>
  <c r="D331" i="2"/>
  <c r="D977" i="2"/>
  <c r="D812" i="2"/>
  <c r="D503" i="2"/>
  <c r="D621" i="2"/>
  <c r="D198" i="2"/>
  <c r="D92" i="2"/>
  <c r="D149" i="2"/>
  <c r="D967" i="2"/>
  <c r="D706" i="2"/>
  <c r="D87" i="2"/>
  <c r="D802" i="2"/>
  <c r="D410" i="2"/>
  <c r="D379" i="2"/>
  <c r="D703" i="2"/>
  <c r="D957" i="2"/>
  <c r="D797" i="2"/>
  <c r="D545" i="2"/>
  <c r="D350" i="2"/>
  <c r="D178" i="2"/>
  <c r="D81" i="2"/>
  <c r="D948" i="2"/>
  <c r="D2" i="2"/>
  <c r="D347" i="2"/>
  <c r="D115" i="2"/>
  <c r="D449" i="2"/>
  <c r="D377" i="2"/>
  <c r="D945" i="2"/>
  <c r="D154" i="2"/>
  <c r="D13" i="2"/>
  <c r="D694" i="2"/>
  <c r="D345" i="2"/>
  <c r="D239" i="2"/>
  <c r="D788" i="2"/>
  <c r="D344" i="2"/>
  <c r="D106" i="2"/>
  <c r="D992" i="2"/>
  <c r="D628" i="2"/>
  <c r="D987" i="2"/>
  <c r="D96" i="2"/>
  <c r="D823" i="2"/>
  <c r="D93" i="2"/>
  <c r="D982" i="2"/>
  <c r="D626" i="2"/>
  <c r="D624" i="2"/>
  <c r="D457" i="2"/>
  <c r="D710" i="2"/>
  <c r="D504" i="2"/>
  <c r="D810" i="2"/>
  <c r="D255" i="2"/>
  <c r="D197" i="2"/>
  <c r="D305" i="2"/>
  <c r="D304" i="2"/>
  <c r="D805" i="2"/>
  <c r="D109" i="2"/>
  <c r="D804" i="2"/>
  <c r="D352" i="2"/>
  <c r="D704" i="2"/>
  <c r="D302" i="2"/>
  <c r="D800" i="2"/>
  <c r="D956" i="2"/>
  <c r="D701" i="2"/>
  <c r="D952" i="2"/>
  <c r="D78" i="2"/>
  <c r="D349" i="2"/>
  <c r="D125" i="2"/>
  <c r="D794" i="2"/>
  <c r="D325" i="2"/>
  <c r="D541" i="2"/>
  <c r="D497" i="2"/>
  <c r="D791" i="2"/>
  <c r="D323" i="2"/>
  <c r="D266" i="2"/>
  <c r="D190" i="2"/>
  <c r="D827" i="2"/>
  <c r="D627" i="2"/>
  <c r="D354" i="2"/>
  <c r="D186" i="2"/>
  <c r="D717" i="2"/>
  <c r="D385" i="2"/>
  <c r="D715" i="2"/>
  <c r="D413" i="2"/>
  <c r="D818" i="2"/>
  <c r="D816" i="2"/>
  <c r="D976" i="2"/>
  <c r="D552" i="2"/>
  <c r="D381" i="2"/>
  <c r="D179" i="2"/>
  <c r="D972" i="2"/>
  <c r="D68" i="2"/>
  <c r="D970" i="2"/>
  <c r="D709" i="2"/>
  <c r="D56" i="2"/>
  <c r="D803" i="2"/>
  <c r="D705" i="2"/>
  <c r="D615" i="2"/>
  <c r="D169" i="2"/>
  <c r="D549" i="2"/>
  <c r="D799" i="2"/>
  <c r="D700" i="2"/>
  <c r="D796" i="2"/>
  <c r="D280" i="2"/>
  <c r="D542" i="2"/>
  <c r="D15" i="2"/>
  <c r="D501" i="2"/>
  <c r="D301" i="2"/>
  <c r="D499" i="2"/>
  <c r="D405" i="2"/>
  <c r="D790" i="2"/>
  <c r="D39" i="2"/>
  <c r="D66" i="2"/>
  <c r="D229" i="2"/>
  <c r="D686" i="2"/>
  <c r="D393" i="2"/>
  <c r="D876" i="2"/>
  <c r="D129" i="2"/>
  <c r="D747" i="2"/>
  <c r="D519" i="2"/>
  <c r="D644" i="2"/>
  <c r="D423" i="2"/>
  <c r="D868" i="2"/>
  <c r="D141" i="2"/>
  <c r="D515" i="2"/>
  <c r="D738" i="2"/>
  <c r="D737" i="2"/>
  <c r="E390" i="2"/>
  <c r="D861" i="2"/>
  <c r="D110" i="2"/>
  <c r="D514" i="2"/>
  <c r="D853" i="2"/>
  <c r="D566" i="2"/>
  <c r="D728" i="2"/>
  <c r="D133" i="2"/>
  <c r="D90" i="2"/>
  <c r="D84" i="2"/>
  <c r="D633" i="2"/>
  <c r="D836" i="2"/>
  <c r="D289" i="2"/>
  <c r="D721" i="2"/>
  <c r="D630" i="2"/>
  <c r="D830" i="2"/>
  <c r="D286" i="2"/>
  <c r="D509" i="2"/>
  <c r="D204" i="2"/>
  <c r="D191" i="2"/>
  <c r="D240" i="2"/>
  <c r="D695" i="2"/>
  <c r="D404" i="2"/>
  <c r="D609" i="2"/>
  <c r="D147" i="2"/>
  <c r="D252" i="2"/>
  <c r="D107" i="2"/>
  <c r="D299" i="2"/>
  <c r="D933" i="2"/>
  <c r="D402" i="2"/>
  <c r="D603" i="2"/>
  <c r="D928" i="2"/>
  <c r="D491" i="2"/>
  <c r="D926" i="2"/>
  <c r="D29" i="2"/>
  <c r="D781" i="2"/>
  <c r="D374" i="2"/>
  <c r="D923" i="2"/>
  <c r="D217" i="2"/>
  <c r="D99" i="2"/>
  <c r="D114" i="2"/>
  <c r="D44" i="2"/>
  <c r="D213" i="2"/>
  <c r="D915" i="2"/>
  <c r="D296" i="2"/>
  <c r="D263" i="2"/>
  <c r="D912" i="2"/>
  <c r="D152" i="2"/>
  <c r="D64" i="2"/>
  <c r="D769" i="2"/>
  <c r="D318" i="2"/>
  <c r="D80" i="2"/>
  <c r="D900" i="2"/>
  <c r="D480" i="2"/>
  <c r="D897" i="2"/>
  <c r="D212" i="2"/>
  <c r="D588" i="2"/>
  <c r="D316" i="2"/>
  <c r="D527" i="2"/>
  <c r="D431" i="2"/>
  <c r="D430" i="2"/>
  <c r="D885" i="2"/>
  <c r="D249" i="2"/>
  <c r="D881" i="2"/>
  <c r="D166" i="2"/>
  <c r="D339" i="2"/>
  <c r="D757" i="2"/>
  <c r="D120" i="2"/>
  <c r="D313" i="2"/>
  <c r="D649" i="2"/>
  <c r="D11" i="2"/>
  <c r="D335" i="2"/>
  <c r="D392" i="2"/>
  <c r="D361" i="2"/>
  <c r="D48" i="2"/>
  <c r="D746" i="2"/>
  <c r="D743" i="2"/>
  <c r="D574" i="2"/>
  <c r="D869" i="2"/>
  <c r="D643" i="2"/>
  <c r="D642" i="2"/>
  <c r="D311" i="2"/>
  <c r="D640" i="2"/>
  <c r="D232" i="2"/>
  <c r="D570" i="2"/>
  <c r="D150" i="2"/>
  <c r="D859" i="2"/>
  <c r="D732" i="2"/>
  <c r="D850" i="2"/>
  <c r="D257" i="2"/>
  <c r="D847" i="2"/>
  <c r="D332" i="2"/>
  <c r="D69" i="2"/>
  <c r="D841" i="2"/>
  <c r="D357" i="2"/>
  <c r="D834" i="2"/>
  <c r="D562" i="2"/>
  <c r="D416" i="2"/>
  <c r="D560" i="2"/>
  <c r="D415" i="2"/>
  <c r="D51" i="2"/>
  <c r="D606" i="2"/>
  <c r="D534" i="2"/>
  <c r="D684" i="2"/>
  <c r="D277" i="2"/>
  <c r="D602" i="2"/>
  <c r="D444" i="2"/>
  <c r="D443" i="2"/>
  <c r="D673" i="2"/>
  <c r="D124" i="2"/>
  <c r="D922" i="2"/>
  <c r="D670" i="2"/>
  <c r="D216" i="2"/>
  <c r="D775" i="2"/>
  <c r="D439" i="2"/>
  <c r="D914" i="2"/>
  <c r="D251" i="2"/>
  <c r="D144" i="2"/>
  <c r="D911" i="2"/>
  <c r="D532" i="2"/>
  <c r="D910" i="2"/>
  <c r="D768" i="2"/>
  <c r="D659" i="2"/>
  <c r="D27" i="2"/>
  <c r="D899" i="2"/>
  <c r="D590" i="2"/>
  <c r="D896" i="2"/>
  <c r="D363" i="2"/>
  <c r="D317" i="2"/>
  <c r="D315" i="2"/>
  <c r="D273" i="2"/>
  <c r="D585" i="2"/>
  <c r="D261" i="2"/>
  <c r="D884" i="2"/>
  <c r="D476" i="2"/>
  <c r="D293" i="2"/>
  <c r="D271" i="2"/>
  <c r="D475" i="2"/>
  <c r="D337" i="2"/>
  <c r="D394" i="2"/>
  <c r="D427" i="2"/>
  <c r="D425" i="2"/>
  <c r="D754" i="2"/>
  <c r="D522" i="2"/>
  <c r="D209" i="2"/>
  <c r="D471" i="2"/>
  <c r="D75" i="2"/>
  <c r="D745" i="2"/>
  <c r="D576" i="2"/>
  <c r="D360" i="2"/>
  <c r="D740" i="2"/>
  <c r="D128" i="2"/>
  <c r="D233" i="2"/>
  <c r="D14" i="2"/>
  <c r="D866" i="2"/>
  <c r="D421" i="2"/>
  <c r="D864" i="2"/>
  <c r="D860" i="2"/>
  <c r="D389" i="2"/>
  <c r="D858" i="2"/>
  <c r="D852" i="2"/>
  <c r="D849" i="2"/>
  <c r="D513" i="2"/>
  <c r="D291" i="2"/>
  <c r="D193" i="2"/>
  <c r="D59" i="2"/>
  <c r="D840" i="2"/>
  <c r="D835" i="2"/>
  <c r="D631" i="2"/>
  <c r="D511" i="2"/>
  <c r="D462" i="2"/>
  <c r="D829" i="2"/>
  <c r="D285" i="2"/>
  <c r="D49" i="2"/>
  <c r="D230" i="2"/>
  <c r="D938" i="2"/>
  <c r="D691" i="2"/>
  <c r="D117" i="2"/>
  <c r="D130" i="2"/>
  <c r="D403" i="2"/>
  <c r="D47" i="2"/>
  <c r="D83" i="2"/>
  <c r="D932" i="2"/>
  <c r="D786" i="2"/>
  <c r="D682" i="2"/>
  <c r="D601" i="2"/>
  <c r="D927" i="2"/>
  <c r="D319" i="2"/>
  <c r="D780" i="2"/>
  <c r="D597" i="2"/>
  <c r="D921" i="2"/>
  <c r="D176" i="2"/>
  <c r="D594" i="2"/>
  <c r="D918" i="2"/>
  <c r="D917" i="2"/>
  <c r="D666" i="2"/>
  <c r="D488" i="2"/>
  <c r="D664" i="2"/>
  <c r="D10" i="2"/>
  <c r="D533" i="2"/>
  <c r="D486" i="2"/>
  <c r="D909" i="2"/>
  <c r="D660" i="2"/>
  <c r="D400" i="2"/>
  <c r="D225" i="2"/>
  <c r="D481" i="2"/>
  <c r="D658" i="2"/>
  <c r="D250" i="2"/>
  <c r="D895" i="2"/>
  <c r="D529" i="2"/>
  <c r="D275" i="2"/>
  <c r="D121" i="2"/>
  <c r="D526" i="2"/>
  <c r="D584" i="2"/>
  <c r="D429" i="2"/>
  <c r="D397" i="2"/>
  <c r="D70" i="2"/>
  <c r="D151" i="2"/>
  <c r="D292" i="2"/>
  <c r="D474" i="2"/>
  <c r="D336" i="2"/>
  <c r="D34" i="2"/>
  <c r="D52" i="2"/>
  <c r="D577" i="2"/>
  <c r="D879" i="2"/>
  <c r="D473" i="2"/>
  <c r="D521" i="2"/>
  <c r="D645" i="2"/>
  <c r="D9" i="2"/>
  <c r="D873" i="2"/>
  <c r="D269" i="2"/>
  <c r="D194" i="2"/>
  <c r="D208" i="2"/>
  <c r="D391" i="2"/>
  <c r="D739" i="2"/>
  <c r="D54" i="2"/>
  <c r="D638" i="2"/>
  <c r="D863" i="2"/>
  <c r="D734" i="2"/>
  <c r="D568" i="2"/>
  <c r="D857" i="2"/>
  <c r="D731" i="2"/>
  <c r="D636" i="2"/>
  <c r="D512" i="2"/>
  <c r="D418" i="2"/>
  <c r="D290" i="2"/>
  <c r="D162" i="2"/>
  <c r="D839" i="2"/>
  <c r="D726" i="2"/>
  <c r="D723" i="2"/>
  <c r="D288" i="2"/>
  <c r="D268" i="2"/>
  <c r="D246" i="2"/>
  <c r="D192" i="2"/>
  <c r="D63" i="2"/>
  <c r="D696" i="2"/>
  <c r="D496" i="2"/>
  <c r="D8" i="2"/>
  <c r="D693" i="2"/>
  <c r="D936" i="2"/>
  <c r="D253" i="2"/>
  <c r="D787" i="2"/>
  <c r="D146" i="2"/>
  <c r="D238" i="2"/>
  <c r="D160" i="2"/>
  <c r="D605" i="2"/>
  <c r="D930" i="2"/>
  <c r="D58" i="2"/>
  <c r="D228" i="2"/>
  <c r="D678" i="2"/>
  <c r="D676" i="2"/>
  <c r="D782" i="2"/>
  <c r="D441" i="2"/>
  <c r="D779" i="2"/>
  <c r="D776" i="2"/>
  <c r="D183" i="2"/>
  <c r="D42" i="2"/>
  <c r="D669" i="2"/>
  <c r="D593" i="2"/>
  <c r="D116" i="2"/>
  <c r="D487" i="2"/>
  <c r="D663" i="2"/>
  <c r="D295" i="2"/>
  <c r="D661" i="2"/>
  <c r="D43" i="2"/>
  <c r="D908" i="2"/>
  <c r="D906" i="2"/>
  <c r="D531" i="2"/>
  <c r="D366" i="2"/>
  <c r="D262" i="2"/>
  <c r="D657" i="2"/>
  <c r="D91" i="2"/>
  <c r="D894" i="2"/>
  <c r="D398" i="2"/>
  <c r="D433" i="2"/>
  <c r="D528" i="2"/>
  <c r="D587" i="2"/>
  <c r="D583" i="2"/>
  <c r="D655" i="2"/>
  <c r="D883" i="2"/>
  <c r="D760" i="2"/>
  <c r="D653" i="2"/>
  <c r="D12" i="2"/>
  <c r="D428" i="2"/>
  <c r="D395" i="2"/>
  <c r="D259" i="2"/>
  <c r="D258" i="2"/>
  <c r="D362" i="2"/>
  <c r="D753" i="2"/>
  <c r="D877" i="2"/>
  <c r="D520" i="2"/>
  <c r="D76" i="2"/>
  <c r="D112" i="2"/>
  <c r="D872" i="2"/>
  <c r="D424" i="2"/>
  <c r="D741" i="2"/>
  <c r="D422" i="2"/>
  <c r="D19" i="2"/>
  <c r="D207" i="2"/>
  <c r="D359" i="2"/>
  <c r="D358" i="2"/>
  <c r="D862" i="2"/>
  <c r="D569" i="2"/>
  <c r="D468" i="2"/>
  <c r="D856" i="2"/>
  <c r="D730" i="2"/>
  <c r="D635" i="2"/>
  <c r="D565" i="2"/>
  <c r="D846" i="2"/>
  <c r="D119" i="2"/>
  <c r="D188" i="2"/>
  <c r="D838" i="2"/>
  <c r="D725" i="2"/>
  <c r="D356" i="2"/>
  <c r="D417" i="2"/>
  <c r="D100" i="2"/>
  <c r="D719" i="2"/>
  <c r="D16" i="2"/>
  <c r="D17" i="2"/>
  <c r="D683" i="2"/>
  <c r="D681" i="2"/>
  <c r="D376" i="2"/>
  <c r="D677" i="2"/>
  <c r="D218" i="2"/>
  <c r="D672" i="2"/>
  <c r="D778" i="2"/>
  <c r="D596" i="2"/>
  <c r="D237" i="2"/>
  <c r="D5" i="2"/>
  <c r="D668" i="2"/>
  <c r="D916" i="2"/>
  <c r="D35" i="2"/>
  <c r="D370" i="2"/>
  <c r="D276" i="2"/>
  <c r="D182" i="2"/>
  <c r="D367" i="2"/>
  <c r="D7" i="2"/>
  <c r="D485" i="2"/>
  <c r="D484" i="2"/>
  <c r="D905" i="2"/>
  <c r="D60" i="2"/>
  <c r="D202" i="2"/>
  <c r="D656" i="2"/>
  <c r="D530" i="2"/>
  <c r="D765" i="2"/>
  <c r="D891" i="2"/>
  <c r="D340" i="2"/>
  <c r="D890" i="2"/>
  <c r="D477" i="2"/>
  <c r="D181" i="2"/>
  <c r="D175" i="2"/>
  <c r="D525" i="2"/>
  <c r="D396" i="2"/>
  <c r="D759" i="2"/>
  <c r="D113" i="2"/>
  <c r="D651" i="2"/>
  <c r="D248" i="2"/>
  <c r="D880" i="2"/>
  <c r="D165" i="2"/>
  <c r="D164" i="2"/>
  <c r="D878" i="2"/>
  <c r="D751" i="2"/>
  <c r="D472" i="2"/>
  <c r="D234" i="2"/>
  <c r="D749" i="2"/>
  <c r="D744" i="2"/>
  <c r="D742" i="2"/>
  <c r="D518" i="2"/>
  <c r="D517" i="2"/>
  <c r="D98" i="2"/>
  <c r="D641" i="2"/>
  <c r="D134" i="2"/>
  <c r="D571" i="2"/>
  <c r="D469" i="2"/>
  <c r="D736" i="2"/>
  <c r="D733" i="2"/>
  <c r="D163" i="2"/>
  <c r="D855" i="2"/>
  <c r="D851" i="2"/>
  <c r="D466" i="2"/>
  <c r="D727" i="2"/>
  <c r="D465" i="2"/>
  <c r="D844" i="2"/>
  <c r="D256" i="2"/>
  <c r="D837" i="2"/>
  <c r="D724" i="2"/>
  <c r="D722" i="2"/>
  <c r="D139" i="2"/>
  <c r="D287" i="2"/>
  <c r="D629" i="2"/>
  <c r="D559" i="2"/>
  <c r="D62" i="2"/>
</calcChain>
</file>

<file path=xl/sharedStrings.xml><?xml version="1.0" encoding="utf-8"?>
<sst xmlns="http://schemas.openxmlformats.org/spreadsheetml/2006/main" count="8503" uniqueCount="1805">
  <si>
    <t>business_state</t>
  </si>
  <si>
    <t>company_name</t>
  </si>
  <si>
    <t>group_affiliation</t>
  </si>
  <si>
    <t>Alabama</t>
  </si>
  <si>
    <t>Aetna Life Insurance Company</t>
  </si>
  <si>
    <t>Aetna Inc</t>
  </si>
  <si>
    <t>Blue Cross and Blue Shield of Alabama</t>
  </si>
  <si>
    <t>Celtic Insurance Company</t>
  </si>
  <si>
    <t>CeltiCare</t>
  </si>
  <si>
    <t>Connecticut General Life Insurance Company</t>
  </si>
  <si>
    <t>Cigna Hlth Grp</t>
  </si>
  <si>
    <t>HealthSpring of Alabama, Inc.</t>
  </si>
  <si>
    <t>HealthSpring, Inc.</t>
  </si>
  <si>
    <t>Humana Health Plan, Inc.</t>
  </si>
  <si>
    <t>HUMANA GRP</t>
  </si>
  <si>
    <t>Humana Insurance Company, Inc.</t>
  </si>
  <si>
    <t>UNICARE Life &amp; Health Insurance Company</t>
  </si>
  <si>
    <t>Wellpoint Inc Grp</t>
  </si>
  <si>
    <t>United American Insurance Co</t>
  </si>
  <si>
    <t>LIBERTY NATL GRP</t>
  </si>
  <si>
    <t>UnitedHealthcare Insurance Company</t>
  </si>
  <si>
    <t>UnitedHealth Group</t>
  </si>
  <si>
    <t>UnitedHealthcare of Alabama, Inc</t>
  </si>
  <si>
    <t>VIVA Health, Inc.</t>
  </si>
  <si>
    <t>Alaska</t>
  </si>
  <si>
    <t>Arizona</t>
  </si>
  <si>
    <t>Aetna Health Inc. (a Pennsylvania corporation)</t>
  </si>
  <si>
    <t>Cigna HealthCare of Arizona, Inc.</t>
  </si>
  <si>
    <t>Health Net Life Insurance Company</t>
  </si>
  <si>
    <t>Health Net Inc. Grp</t>
  </si>
  <si>
    <t>Health Net of Arizona, Inc</t>
  </si>
  <si>
    <t>Sierra Health and Life Insurance Company, Inc.</t>
  </si>
  <si>
    <t>UnitedHealth Grp</t>
  </si>
  <si>
    <t>UnitedHealthcare of Arizona, Inc.</t>
  </si>
  <si>
    <t>Arkansas</t>
  </si>
  <si>
    <t>Coventry Health &amp; Life Insuance Company</t>
  </si>
  <si>
    <t>Coventry Health Care, Inc.</t>
  </si>
  <si>
    <t>UnitedHealthcare of Arkansas, Inc.</t>
  </si>
  <si>
    <t>California</t>
  </si>
  <si>
    <t>Aetna Health of California Inc.</t>
  </si>
  <si>
    <t>Anthem Blue Cross Life and Health Insurance Company, Inc.</t>
  </si>
  <si>
    <t>WellPoint Inc Grp</t>
  </si>
  <si>
    <t>Blue Cross of California</t>
  </si>
  <si>
    <t>California Physicians Service</t>
  </si>
  <si>
    <t>Blue Shield of California Group</t>
  </si>
  <si>
    <t>Chinese Community Health Plan</t>
  </si>
  <si>
    <t>County of Ventura, dba Ventura County Health Care Plan</t>
  </si>
  <si>
    <t>Health Net of California, Inc</t>
  </si>
  <si>
    <t>Kaiser Foundation Health Plan, Inc.</t>
  </si>
  <si>
    <t>San Mateo Health Commission</t>
  </si>
  <si>
    <t>UHC of California</t>
  </si>
  <si>
    <t>Colorado</t>
  </si>
  <si>
    <t>Colorado Choice Health Plans</t>
  </si>
  <si>
    <t>Denver Health Medical Plan, Inc.</t>
  </si>
  <si>
    <t>HMO Colorado, Inc.</t>
  </si>
  <si>
    <t>Kaiser Foundation Health Plan of Colorado</t>
  </si>
  <si>
    <t>Kaiser Foundation Group</t>
  </si>
  <si>
    <t>Rocky Mountain Health Maintenance Organization, Inc.</t>
  </si>
  <si>
    <t>Rocky Mountain Health Group</t>
  </si>
  <si>
    <t>Connecticut</t>
  </si>
  <si>
    <t>Aetna Health Inc. (a Connecticut corporation)</t>
  </si>
  <si>
    <t>Anthem Health Plans, Inc.</t>
  </si>
  <si>
    <t>ConnectiCare, Inc</t>
  </si>
  <si>
    <t>HIP INS GRP</t>
  </si>
  <si>
    <t>Oxford Health Plans (CT), Inc</t>
  </si>
  <si>
    <t>UNITEDHEALTH GRP</t>
  </si>
  <si>
    <t>PacifiCare Life and Health Insurance Co</t>
  </si>
  <si>
    <t>Tufts Insurance Company</t>
  </si>
  <si>
    <t>Tufts Health Plan</t>
  </si>
  <si>
    <t>Delaware</t>
  </si>
  <si>
    <t>District of Columbia</t>
  </si>
  <si>
    <t>Kaiser Foundation Health Plan of Mid-Atlantic States, Inc.</t>
  </si>
  <si>
    <t>Florida</t>
  </si>
  <si>
    <t>Aetna Health Inc. (a Florida corporation)</t>
  </si>
  <si>
    <t>AvMed, Inc.</t>
  </si>
  <si>
    <t>Blue Cross and Blue Shield of Florida, Inc.</t>
  </si>
  <si>
    <t>Capital Health Plan</t>
  </si>
  <si>
    <t>Citrus Health Care, Inc.</t>
  </si>
  <si>
    <t>Coventry Health Care of Fl., Inc.</t>
  </si>
  <si>
    <t>Coventry Health Plan of Fl., Inc.</t>
  </si>
  <si>
    <t>Florida Health Care Plan, Inc</t>
  </si>
  <si>
    <t>Blue Cross Blue Shield of FL, Inc.</t>
  </si>
  <si>
    <t>Health First Health Plans</t>
  </si>
  <si>
    <t>Health First Group</t>
  </si>
  <si>
    <t>Health Options, Inc.</t>
  </si>
  <si>
    <t>Humana Health Insurance Company of Florida, Inc.</t>
  </si>
  <si>
    <t>Humana Medical Plan, Inc.</t>
  </si>
  <si>
    <t>Medica Health Plans of Florida, Inc</t>
  </si>
  <si>
    <t>Medica Hlth Grp</t>
  </si>
  <si>
    <t>Preferred Medical Plan, Inc.</t>
  </si>
  <si>
    <t>UnitedHealthcare of Florida, Inc.</t>
  </si>
  <si>
    <t>Georgia</t>
  </si>
  <si>
    <t>Aetna Health Inc. (a Georgia corporation)</t>
  </si>
  <si>
    <t>Blue Cross Blue Shield Healthcare Plan of Georgia, Inc.</t>
  </si>
  <si>
    <t>Blue Cross and Blue Shield of Georgia, Inc.</t>
  </si>
  <si>
    <t>Coventry Health Care of Georgia, Inc.</t>
  </si>
  <si>
    <t>Humana Employers Health Plan of Georgia, Inc.</t>
  </si>
  <si>
    <t>Kaiser Foundation Health Plan of Georgia, Inc.</t>
  </si>
  <si>
    <t>UnitedHealthcare of Georgia, Inc.</t>
  </si>
  <si>
    <t>Hawaii</t>
  </si>
  <si>
    <t>Hawaii Medical Service Association</t>
  </si>
  <si>
    <t>KAISER FOUNDATION GRP</t>
  </si>
  <si>
    <t>Idaho</t>
  </si>
  <si>
    <t>Blue Cross of Idaho Health Service, Inc.</t>
  </si>
  <si>
    <t>Regence BlueShield of Idaho, Inc.</t>
  </si>
  <si>
    <t>REGENCE GRP</t>
  </si>
  <si>
    <t>Illinois</t>
  </si>
  <si>
    <t>Coventry Health Care of Illinois, Inc.</t>
  </si>
  <si>
    <t>Coventry Health Care of Missouri, Inc.</t>
  </si>
  <si>
    <t>Health Alliance Medical Plans, Inc.</t>
  </si>
  <si>
    <t>Health Alliance Midwest Inc</t>
  </si>
  <si>
    <t>HealthSpring of TN, Inc</t>
  </si>
  <si>
    <t>Humana Benefit Plan of Illinois, Inc.</t>
  </si>
  <si>
    <t>Medical Associates Health Plan, Inc</t>
  </si>
  <si>
    <t>UnitedHealthcare Plan of the River Valley, Inc.</t>
  </si>
  <si>
    <t>UnitedHealthcare of the Midwest, Inc.</t>
  </si>
  <si>
    <t>Indiana</t>
  </si>
  <si>
    <t>ADVANTAGE Health Solutions, Inc</t>
  </si>
  <si>
    <t>Anthem Insurance Companies, Inc.</t>
  </si>
  <si>
    <t>NHP of Indiana LLC</t>
  </si>
  <si>
    <t>Iowa</t>
  </si>
  <si>
    <t>Coventry Healthcare of Iowa, Inc</t>
  </si>
  <si>
    <t>COVENTRY CORP GRP</t>
  </si>
  <si>
    <t>Wellmark Health Plan of Iowa, Inc.</t>
  </si>
  <si>
    <t>Wellmark Group</t>
  </si>
  <si>
    <t>Wellmark, Inc.</t>
  </si>
  <si>
    <t>Kansas</t>
  </si>
  <si>
    <t>Blue Cross and Blue Shield of Kansas, Inc.</t>
  </si>
  <si>
    <t>Coventry Health Care of Kansas, Inc.</t>
  </si>
  <si>
    <t>Kentucky</t>
  </si>
  <si>
    <t>Anthem Health Plans of Kentucky, Inc.</t>
  </si>
  <si>
    <t>Bluegrass Family Health</t>
  </si>
  <si>
    <t>Humana Health Plan of Ohio, Inc.</t>
  </si>
  <si>
    <t>UnitedHealthcare of Ohio, Inc</t>
  </si>
  <si>
    <t>United Health Group</t>
  </si>
  <si>
    <t>Louisiana</t>
  </si>
  <si>
    <t>Humana Health Benefit Plan of Louisiana, Inc.</t>
  </si>
  <si>
    <t>Louisiana Health Service and Indemnity Company</t>
  </si>
  <si>
    <t>LOUISIANA HLTH SERV GRP</t>
  </si>
  <si>
    <t>Vantage Health Plan, Inc.</t>
  </si>
  <si>
    <t>Maine</t>
  </si>
  <si>
    <t>Aetna Health Inc. (a Maine corporation)</t>
  </si>
  <si>
    <t>HPHC Insurance Company, Inc.</t>
  </si>
  <si>
    <t>HARVARD PILGRIM HTH CARE GRP</t>
  </si>
  <si>
    <t>Maryland</t>
  </si>
  <si>
    <t>Coventry Health Care of Delaware, Inc.</t>
  </si>
  <si>
    <t>UnitedHealthcare of the Mid-Atlantic, Inc.</t>
  </si>
  <si>
    <t>Massachusetts</t>
  </si>
  <si>
    <t>Blue Cross and Blue Shield of Massachusetts HMO Blue, Inc.</t>
  </si>
  <si>
    <t>BCBS of MA Grp</t>
  </si>
  <si>
    <t>Blue Cross and Blue Shield of Massachusetts, Inc.</t>
  </si>
  <si>
    <t>CeltiCare Health Plan of MA</t>
  </si>
  <si>
    <t>Fallon Community Health Plan</t>
  </si>
  <si>
    <t>Fallon Grp</t>
  </si>
  <si>
    <t>Health New England, Inc</t>
  </si>
  <si>
    <t>Baystate Hlth Grp</t>
  </si>
  <si>
    <t>Neighborhood Health Plan, Inc.</t>
  </si>
  <si>
    <t>Tufts Associated Health Maintenance Organization, Inc.</t>
  </si>
  <si>
    <t>Michigan</t>
  </si>
  <si>
    <t>Alliance Health and Life Insurance Company</t>
  </si>
  <si>
    <t>Henry Ford Health Systems Group</t>
  </si>
  <si>
    <t>Blue Care Network</t>
  </si>
  <si>
    <t>BCBS OF MI GRP</t>
  </si>
  <si>
    <t>Blue Cross Blue Shield of Michigan</t>
  </si>
  <si>
    <t>Grand Valley Health Plan</t>
  </si>
  <si>
    <t>Health Alliance Plan of Michigan</t>
  </si>
  <si>
    <t>HealthPlus Insurance Company</t>
  </si>
  <si>
    <t>HealthPlus of Michigan, Inc.</t>
  </si>
  <si>
    <t>McLaren Health Plan</t>
  </si>
  <si>
    <t>McLaren Hlth Group</t>
  </si>
  <si>
    <t>Paramount Care of Michigan</t>
  </si>
  <si>
    <t>Priority Health</t>
  </si>
  <si>
    <t>Spectrum Health</t>
  </si>
  <si>
    <t>Priority Health Insurance Company, Inc</t>
  </si>
  <si>
    <t>Total Health Care USA, Inc.</t>
  </si>
  <si>
    <t>Total Health Care, Inc.</t>
  </si>
  <si>
    <t>Minnesota</t>
  </si>
  <si>
    <t>BCBSM, INC.</t>
  </si>
  <si>
    <t>BCBS of MN Grp</t>
  </si>
  <si>
    <t>Group Health Plan, Inc.</t>
  </si>
  <si>
    <t>HMO Minnesota</t>
  </si>
  <si>
    <t>HealthPartners, Inc.</t>
  </si>
  <si>
    <t>Medica Health Plans</t>
  </si>
  <si>
    <t>Medica Grp</t>
  </si>
  <si>
    <t>Medica Insurance Company</t>
  </si>
  <si>
    <t>Mississippi</t>
  </si>
  <si>
    <t>UnitedHealthcare of Mississippi, Inc.</t>
  </si>
  <si>
    <t>Missouri</t>
  </si>
  <si>
    <t>HMO Missouri, Inc.</t>
  </si>
  <si>
    <t>Healthy Alliance Life Insurance Company</t>
  </si>
  <si>
    <t>Montana</t>
  </si>
  <si>
    <t>Blue Cross Blue Shield of Montana</t>
  </si>
  <si>
    <t>New West Health Services</t>
  </si>
  <si>
    <t>Nebraska</t>
  </si>
  <si>
    <t>Blue Cross and Blue Shield of Nebraska</t>
  </si>
  <si>
    <t>Coventry Health Care, Inc</t>
  </si>
  <si>
    <t>Nevada</t>
  </si>
  <si>
    <t>Health Plan of Nevada, Inc.</t>
  </si>
  <si>
    <t>Hometown Health Plan, Inc.</t>
  </si>
  <si>
    <t>Hometown Health Providers Insurance Company, Inc.</t>
  </si>
  <si>
    <t>Rocky Mountain Hospital and Medical Service, Inc.</t>
  </si>
  <si>
    <t>New Hampshire</t>
  </si>
  <si>
    <t>New Jersey</t>
  </si>
  <si>
    <t>Aetna Health Inc. (a New Jersey corporation)</t>
  </si>
  <si>
    <t>AmeriHealth HMO, Inc.</t>
  </si>
  <si>
    <t>INDEPENDENCE BLUE CROSS GRP</t>
  </si>
  <si>
    <t>Horizon Healthcare Services</t>
  </si>
  <si>
    <t>BCBS OF NJ GRP</t>
  </si>
  <si>
    <t>Horizon Healthcare of New Jersey</t>
  </si>
  <si>
    <t>Oxford Health Plans (NJ), Inc</t>
  </si>
  <si>
    <t>New Mexico</t>
  </si>
  <si>
    <t>Lovelace Health System, Inc.</t>
  </si>
  <si>
    <t>Ardent Health Service</t>
  </si>
  <si>
    <t>Presbyterian Health Plan, Inc.</t>
  </si>
  <si>
    <t>Presbyterian Hlthcare Serv Grp</t>
  </si>
  <si>
    <t>Presbyterian Insurance Company, Inc.</t>
  </si>
  <si>
    <t>New York</t>
  </si>
  <si>
    <t>Aetna Health Inc. (a New York corporation)</t>
  </si>
  <si>
    <t>CDPHP Universal Benefits, Inc.</t>
  </si>
  <si>
    <t>CDPHP</t>
  </si>
  <si>
    <t>Capital District Physicians Health Plan, Inc.</t>
  </si>
  <si>
    <t>Empire HealthChoice Assurance, Inc.</t>
  </si>
  <si>
    <t>Empire HealthChoice HMO, Inc.</t>
  </si>
  <si>
    <t>Excellus Health Plan, Inc</t>
  </si>
  <si>
    <t>Lifetime HealthCare Group</t>
  </si>
  <si>
    <t>GHI an EmblemHealth Company</t>
  </si>
  <si>
    <t>Group Health Incorporated</t>
  </si>
  <si>
    <t>HIP of Greater NY an EmblemHealth Company</t>
  </si>
  <si>
    <t>HIP Insurance Company of New York</t>
  </si>
  <si>
    <t>HealthNow New York Inc.</t>
  </si>
  <si>
    <t>Independent Health Association, Inc</t>
  </si>
  <si>
    <t>Independent Health Benefits Corporation</t>
  </si>
  <si>
    <t>MVP Health Plan, Inc</t>
  </si>
  <si>
    <t>MVP Group</t>
  </si>
  <si>
    <t>Managed Health, Inc.</t>
  </si>
  <si>
    <t>Oxford Health Plans (NY), Inc.</t>
  </si>
  <si>
    <t>UnitedHealthcare Insurance Company of New York</t>
  </si>
  <si>
    <t>North Carolina</t>
  </si>
  <si>
    <t>Blue Cross Blue Shield of NC</t>
  </si>
  <si>
    <t>UnitedHealthcare of North Carolina, Inc.</t>
  </si>
  <si>
    <t>North Dakota</t>
  </si>
  <si>
    <t>Heart of America Health Plan</t>
  </si>
  <si>
    <t>Noridian Mutual Insurance Company</t>
  </si>
  <si>
    <t>Ohio</t>
  </si>
  <si>
    <t>AultCare Insurance Company</t>
  </si>
  <si>
    <t>Community Insurance Company</t>
  </si>
  <si>
    <t>Kaiser Foundation Health Plan of Ohio</t>
  </si>
  <si>
    <t>Paramount Care, Inc.</t>
  </si>
  <si>
    <t>SummaCare, Inc.</t>
  </si>
  <si>
    <t>Summa Hlth Grp</t>
  </si>
  <si>
    <t>Oklahoma</t>
  </si>
  <si>
    <t>CommunityCare HMO, Inc.</t>
  </si>
  <si>
    <t>CommunityCare Life &amp; Health Insurance Company</t>
  </si>
  <si>
    <t>UnitedHealthcare of Oklahoma, Inc.</t>
  </si>
  <si>
    <t>Oregon</t>
  </si>
  <si>
    <t>Asuris Northwest Health</t>
  </si>
  <si>
    <t>Health Net Health Plan of Oregon, Inc</t>
  </si>
  <si>
    <t>Kaiser Foundation Health Plan of the Northwest</t>
  </si>
  <si>
    <t>ODS Health Plan, Inc.</t>
  </si>
  <si>
    <t>Oregon Dental Grp</t>
  </si>
  <si>
    <t>PacificSource Community Health Plans</t>
  </si>
  <si>
    <t>PacificSource Hlth Plan Grp</t>
  </si>
  <si>
    <t>PacificSource Health Plans</t>
  </si>
  <si>
    <t>Providence Health Plan</t>
  </si>
  <si>
    <t>Regence BlueCross BlueShield of Oregon</t>
  </si>
  <si>
    <t>UnitedHealthcare of Oregon, Inc.</t>
  </si>
  <si>
    <t>Pennsylvania</t>
  </si>
  <si>
    <t>Capital Advantage Insurance Company</t>
  </si>
  <si>
    <t>Capital Blue Cross Group</t>
  </si>
  <si>
    <t>Capital BlueCross</t>
  </si>
  <si>
    <t>Geisinger Health Plan</t>
  </si>
  <si>
    <t>GEISINGER INS GRP</t>
  </si>
  <si>
    <t>Geisinger Indemnity Insurance Company</t>
  </si>
  <si>
    <t>HMO of Northeastern PA, Inc.</t>
  </si>
  <si>
    <t>Hospital Service Association of Northeastern PA</t>
  </si>
  <si>
    <t>HealthAmerica Pennsylvania, Inc.</t>
  </si>
  <si>
    <t>HealthAssurance Pennsylvania, Inc.</t>
  </si>
  <si>
    <t>Highmark, Inc.</t>
  </si>
  <si>
    <t>Highmark Inc.</t>
  </si>
  <si>
    <t>Keystone Health Plan Central</t>
  </si>
  <si>
    <t>Keystone Health Plan East</t>
  </si>
  <si>
    <t>Keystone Health Plan West, Inc.</t>
  </si>
  <si>
    <t>QCC Insurance Company</t>
  </si>
  <si>
    <t>UPMC Health Benefits, Inc.</t>
  </si>
  <si>
    <t>UPMC HLTH SYSTEM GRP</t>
  </si>
  <si>
    <t>UPMC Health Network, Inc.</t>
  </si>
  <si>
    <t>UPMC Health Plan, Inc.</t>
  </si>
  <si>
    <t>Puerto Rico</t>
  </si>
  <si>
    <t>Humana Health Plans of Puerto Rico</t>
  </si>
  <si>
    <t>NAIC</t>
  </si>
  <si>
    <t>Humana Insurance of Puerto Rico</t>
  </si>
  <si>
    <t>MAPFRE Life Insurance Company</t>
  </si>
  <si>
    <t>MAPFRE Insurance Group</t>
  </si>
  <si>
    <t>Triple-S Salud Inc.</t>
  </si>
  <si>
    <t>Rhode Island</t>
  </si>
  <si>
    <t>Blue Cross &amp; Blue Shield of Rhode Island</t>
  </si>
  <si>
    <t>UHC New England Inc.</t>
  </si>
  <si>
    <t>South Carolina</t>
  </si>
  <si>
    <t>BlueChoice HealthPlan of South Carolina, Inc.</t>
  </si>
  <si>
    <t>BCBS of SC Grp</t>
  </si>
  <si>
    <t>BlueCross and BlueShield of South Carolina</t>
  </si>
  <si>
    <t>BCBS of SC Group</t>
  </si>
  <si>
    <t>South Dakota</t>
  </si>
  <si>
    <t>Wellmark of South Dakota, Inc.</t>
  </si>
  <si>
    <t>Tennessee</t>
  </si>
  <si>
    <t>BlueCross BlueShield of Tennessee, Inc.</t>
  </si>
  <si>
    <t>BCBS of TN Inc</t>
  </si>
  <si>
    <t>Texas</t>
  </si>
  <si>
    <t>Aetna Health Inc. (a Texas coporation)</t>
  </si>
  <si>
    <t>Community First Health Plans, Inc.</t>
  </si>
  <si>
    <t>Humana Health Plan of Texas, Inc.</t>
  </si>
  <si>
    <t>SHA, LLC</t>
  </si>
  <si>
    <t>Firstcare Grp</t>
  </si>
  <si>
    <t>Scott and White Health Plan</t>
  </si>
  <si>
    <t>Scott &amp; White GRP</t>
  </si>
  <si>
    <t>UNICARE Health Plans of Texas, Inc.</t>
  </si>
  <si>
    <t>UnitedHealthcare Benefits of Texas, Inc.</t>
  </si>
  <si>
    <t>Utah</t>
  </si>
  <si>
    <t>Altius Health Plans, Inc.</t>
  </si>
  <si>
    <t>Educators Mutual Insurance Association</t>
  </si>
  <si>
    <t>Regence BlueCross BlueShield of Utah</t>
  </si>
  <si>
    <t>SelectHealth, Inc.</t>
  </si>
  <si>
    <t>SelectHealth &amp; Affiliated Companies</t>
  </si>
  <si>
    <t>UnitedHealthcare of Utah, Inc.</t>
  </si>
  <si>
    <t>Vermont</t>
  </si>
  <si>
    <t>Virginia</t>
  </si>
  <si>
    <t>Anthem Health Plans of Virginia, Inc.</t>
  </si>
  <si>
    <t>HealthKeepers, Inc.</t>
  </si>
  <si>
    <t>Optima Health Insurance Company</t>
  </si>
  <si>
    <t>Sentara Health Management Group</t>
  </si>
  <si>
    <t>Optima Health Plan</t>
  </si>
  <si>
    <t>Piedmont Community HealthCare, Inc.</t>
  </si>
  <si>
    <t>Southern Health Services, Inc.</t>
  </si>
  <si>
    <t>Coventry Corp Grp</t>
  </si>
  <si>
    <t>Washington</t>
  </si>
  <si>
    <t>Group Health Cooperative</t>
  </si>
  <si>
    <t>Group Health Options, Inc</t>
  </si>
  <si>
    <t>GROUP HLTH COOP GRP</t>
  </si>
  <si>
    <t>Regence BlueShield</t>
  </si>
  <si>
    <t>UnitedHealthcare of Washington, Inc.</t>
  </si>
  <si>
    <t>West Virginia</t>
  </si>
  <si>
    <t>Carelink Health Plans, Inc.</t>
  </si>
  <si>
    <t>HM Health Insurance Company</t>
  </si>
  <si>
    <t>Wisconsin</t>
  </si>
  <si>
    <t>Blue Cross Blue Shield of Wisconsin</t>
  </si>
  <si>
    <t>Compcare Health Services Insurance Corporation</t>
  </si>
  <si>
    <t>Dean Health Plan, Inc</t>
  </si>
  <si>
    <t>Dean Health Grp</t>
  </si>
  <si>
    <t>Group Health Cooperative of Eau Claire</t>
  </si>
  <si>
    <t>Group Health Cooperative of South Central Wisconsin</t>
  </si>
  <si>
    <t>Gundersen Lutheran Health Plan, Inc.</t>
  </si>
  <si>
    <t>Health Tradition Health Plan</t>
  </si>
  <si>
    <t>HealthPartners Insurance Company</t>
  </si>
  <si>
    <t>Humana Wisconsin Health Organization Insurance Corporation</t>
  </si>
  <si>
    <t>MercyCare HMO</t>
  </si>
  <si>
    <t>Mercy Alliance Inc Group</t>
  </si>
  <si>
    <t>Network Health Plan</t>
  </si>
  <si>
    <t>Network Hlth Grp</t>
  </si>
  <si>
    <t>Physicians Plus Insurance Corporation</t>
  </si>
  <si>
    <t>Security Health Plan of Wisconsin, Inc.</t>
  </si>
  <si>
    <t>UnitedHealthcare of Wisconsin, Inc.</t>
  </si>
  <si>
    <t>Unity Health Plans Insurance Corporation</t>
  </si>
  <si>
    <t>Wisconsin Physicians Services Insurance Corporation</t>
  </si>
  <si>
    <t>Wyoming</t>
  </si>
  <si>
    <t>Blue Cross Blue Shield of Wyoming</t>
  </si>
  <si>
    <t>state</t>
  </si>
  <si>
    <t>organizationname</t>
  </si>
  <si>
    <t>AL</t>
  </si>
  <si>
    <t>SecureHorizons by UnitedHealthcare</t>
  </si>
  <si>
    <t>VIVA Medicare Plus</t>
  </si>
  <si>
    <t>Blue Cross Blue Shield of Alabama</t>
  </si>
  <si>
    <t>Healthspring of Alabama, Inc.</t>
  </si>
  <si>
    <t>Humana Insurance Company</t>
  </si>
  <si>
    <t>Cigna-HealthSpring</t>
  </si>
  <si>
    <t>SecureHorizons</t>
  </si>
  <si>
    <t>Windsor Medicare Extra</t>
  </si>
  <si>
    <t>AR</t>
  </si>
  <si>
    <t>Arkansas Blue Cross - Medi-Pak Advantage</t>
  </si>
  <si>
    <t>Arkansas Blue Cross  -  Medi-Pak Advantage</t>
  </si>
  <si>
    <t>Arkansas Community Care, Inc.</t>
  </si>
  <si>
    <t>Coventry Health Care</t>
  </si>
  <si>
    <t>WellCare</t>
  </si>
  <si>
    <t>Mercy Health Plans</t>
  </si>
  <si>
    <t>Universal American Corp.</t>
  </si>
  <si>
    <t>Universal American</t>
  </si>
  <si>
    <t>Care Improvement Plus</t>
  </si>
  <si>
    <t>Physicians Health Choice</t>
  </si>
  <si>
    <t>Advantra® Freedom</t>
  </si>
  <si>
    <t>AZ</t>
  </si>
  <si>
    <t>UnitedHealthcare Community Plan</t>
  </si>
  <si>
    <t>SecureHorizons MedicareDirect</t>
  </si>
  <si>
    <t>Sterling Life Insurance Company</t>
  </si>
  <si>
    <t>Health Net of Arizona, Inc.</t>
  </si>
  <si>
    <t>Desert Canyon Community Care</t>
  </si>
  <si>
    <t>UNIVERSAL HEALTH CARE INSURANCE COMPANY, INC.</t>
  </si>
  <si>
    <t>Blue Cross Blue Shield of Arizona Advantage</t>
  </si>
  <si>
    <t>Evercare® by UnitedHealthcare</t>
  </si>
  <si>
    <t>CIGNA HealthCare for Seniors</t>
  </si>
  <si>
    <t>CIGNA HealthCare of Arizona</t>
  </si>
  <si>
    <t>ONECare by Care1st Health Plan Arizona, Inc.</t>
  </si>
  <si>
    <t>Mercy Care Advantage</t>
  </si>
  <si>
    <t>Health Choice Generations HMO SNP</t>
  </si>
  <si>
    <t>Advantage by Bridgeway Health Solutions</t>
  </si>
  <si>
    <t>Abrazo Advantage Health Plan</t>
  </si>
  <si>
    <t>Coventry Advantra</t>
  </si>
  <si>
    <t>Universal Health Care Insurance Company, Inc.</t>
  </si>
  <si>
    <t>SCAN Health Plan Arizona</t>
  </si>
  <si>
    <t>Aetna Medicare</t>
  </si>
  <si>
    <t>Evercare® Health Plans</t>
  </si>
  <si>
    <t>Advantage by Bridgeway Health Solutions HMO SNP</t>
  </si>
  <si>
    <t>University Physicians/Maricopa Care Advantage</t>
  </si>
  <si>
    <t>Banner MediSun</t>
  </si>
  <si>
    <t>CareMore Health Plan of Arizona, Inc.</t>
  </si>
  <si>
    <t>CIGNA Medicare Select</t>
  </si>
  <si>
    <t>Secure Horizons Medicare Advantage Plan</t>
  </si>
  <si>
    <t>Unicare Life &amp; Health Ins. Company</t>
  </si>
  <si>
    <t>Today's Option</t>
  </si>
  <si>
    <t>Cigna HealthCare of Arizona</t>
  </si>
  <si>
    <t>CA</t>
  </si>
  <si>
    <t>On Lok Lifeways</t>
  </si>
  <si>
    <t>Center For Elders' Independence</t>
  </si>
  <si>
    <t>Alameda Alliance for Health</t>
  </si>
  <si>
    <t>Anthem Blue Cross</t>
  </si>
  <si>
    <t>Kaiser Permanente</t>
  </si>
  <si>
    <t>Kaiser Permanente Senior Advantage</t>
  </si>
  <si>
    <t>Health Net of California</t>
  </si>
  <si>
    <t>Contra Costa Health Plan</t>
  </si>
  <si>
    <t>SCAN Health Plan</t>
  </si>
  <si>
    <t>Blue Cross Of California</t>
  </si>
  <si>
    <t>CIGNA Medicare Access</t>
  </si>
  <si>
    <t>Humana Health Plan of California, Inc.</t>
  </si>
  <si>
    <t>Today's Options</t>
  </si>
  <si>
    <t>GEMCARE Health Plan</t>
  </si>
  <si>
    <t>Health Net Of CA</t>
  </si>
  <si>
    <t>AltaMed Health Services Corporation</t>
  </si>
  <si>
    <t>CareMore Health Plan</t>
  </si>
  <si>
    <t>Inter Valley Health Plan</t>
  </si>
  <si>
    <t>L.A. Care Health Plan Medicare Advantage</t>
  </si>
  <si>
    <t>Citizens Choice Health Plan</t>
  </si>
  <si>
    <t>Easy Choice Health Plan</t>
  </si>
  <si>
    <t>Central Health Medicare Plan</t>
  </si>
  <si>
    <t>Molina Healthcare of California</t>
  </si>
  <si>
    <t>Care1st Medicare Advantage Plan</t>
  </si>
  <si>
    <t>San Miguel Health Plan</t>
  </si>
  <si>
    <t>MD Care Healthplan</t>
  </si>
  <si>
    <t>Health Net of CA</t>
  </si>
  <si>
    <t>Blue Shield of California</t>
  </si>
  <si>
    <t>Partnership HealthPlan of California</t>
  </si>
  <si>
    <t>Golden State Medicare Health Plan, Golden (HMO)</t>
  </si>
  <si>
    <t>OneCare</t>
  </si>
  <si>
    <t>Arta Medicare Health Plan</t>
  </si>
  <si>
    <t>Health Net Pearl</t>
  </si>
  <si>
    <t>IEHP Medicare DualChoice HMO</t>
  </si>
  <si>
    <t>VillageHealth</t>
  </si>
  <si>
    <t>Citizens Choice Healthplan</t>
  </si>
  <si>
    <t>Western Health Advantage</t>
  </si>
  <si>
    <t>Sutter SeniorCare PACE</t>
  </si>
  <si>
    <t>St. Paul's PACE</t>
  </si>
  <si>
    <t>Community Health Group</t>
  </si>
  <si>
    <t>Health Plan of San Mateo</t>
  </si>
  <si>
    <t>Santa Clara Family Health Plan</t>
  </si>
  <si>
    <t>Health Net</t>
  </si>
  <si>
    <t>Arcadian Health Plan, Inc.</t>
  </si>
  <si>
    <t>Spokane Community Care</t>
  </si>
  <si>
    <t>CO</t>
  </si>
  <si>
    <t>Total Longterm Care, Inc.</t>
  </si>
  <si>
    <t>Colorado Access</t>
  </si>
  <si>
    <t>Anthem Blue Cross and Blue Shield</t>
  </si>
  <si>
    <t>AARP MedicareComplete provided by SecureHorizons</t>
  </si>
  <si>
    <t>Rocky Mountain Health Plans</t>
  </si>
  <si>
    <t>Senior CommUnity Care of Colorado</t>
  </si>
  <si>
    <t>Colorado Access Advantage</t>
  </si>
  <si>
    <t>Rocky Mountain PACE</t>
  </si>
  <si>
    <t>AARP MedicareComplete from SecureHorizons</t>
  </si>
  <si>
    <t>CT</t>
  </si>
  <si>
    <t>Health Net of Connecticut</t>
  </si>
  <si>
    <t>ConnectiCare, Inc.</t>
  </si>
  <si>
    <t>Aetna Health Inc.</t>
  </si>
  <si>
    <t>UnitedHealthcare</t>
  </si>
  <si>
    <t>DE</t>
  </si>
  <si>
    <t>Bravo Health</t>
  </si>
  <si>
    <t>Bravo by Elder Health</t>
  </si>
  <si>
    <t>FL</t>
  </si>
  <si>
    <t>Physicians United Plan</t>
  </si>
  <si>
    <t>MD MedicareChoice</t>
  </si>
  <si>
    <t>America's Health Choice</t>
  </si>
  <si>
    <t>Health First Health Plans, Inc.</t>
  </si>
  <si>
    <t>Universal Health Care, Inc.</t>
  </si>
  <si>
    <t>American Pioneer Healh Plans</t>
  </si>
  <si>
    <t>PartnerCare Golden Advocate Plan</t>
  </si>
  <si>
    <t>American Pioneer Life Insurance Company</t>
  </si>
  <si>
    <t>Quality Health Plans, Inc.</t>
  </si>
  <si>
    <t>Health First Medicare Plans</t>
  </si>
  <si>
    <t>Quality Health Plans</t>
  </si>
  <si>
    <t>CarePlus Health Plans, Inc.</t>
  </si>
  <si>
    <t>Freedom Health, Inc.</t>
  </si>
  <si>
    <t>Health Options, Inc / Blue Cross Blue Shield of FL</t>
  </si>
  <si>
    <t>Molina Healthcare of Florida</t>
  </si>
  <si>
    <t>AvMed Medicare Preferred</t>
  </si>
  <si>
    <t>HealthSun Health Plans, Inc.</t>
  </si>
  <si>
    <t>Coventry Summit Health Plan</t>
  </si>
  <si>
    <t>Coventry Health Care of Florida</t>
  </si>
  <si>
    <t>Medica HealthCare Plans, Inc.</t>
  </si>
  <si>
    <t>Preferred Care Partners, Inc.</t>
  </si>
  <si>
    <t>United Healthcare Insurance Company</t>
  </si>
  <si>
    <t>SunCoast Physicians Health Plan, Inc</t>
  </si>
  <si>
    <t>Summit Health Plan, Inc.</t>
  </si>
  <si>
    <t>Vista Healthplan of South Florida, Inc.</t>
  </si>
  <si>
    <t>Humana AdvantageCare Plan, Inc.</t>
  </si>
  <si>
    <t>Leon Medical Centers Health Plans, Inc.</t>
  </si>
  <si>
    <t>HealthSpring of Florida, Inc.</t>
  </si>
  <si>
    <t>Florida Health Care Plan, Inc.</t>
  </si>
  <si>
    <t>Humana Health Insurance Company of FL, Inc.</t>
  </si>
  <si>
    <t>Optimum HealthCare, Inc.</t>
  </si>
  <si>
    <t>AMERIGROUP Community Care</t>
  </si>
  <si>
    <t>AdvantageCare</t>
  </si>
  <si>
    <t>Hope Select Care</t>
  </si>
  <si>
    <t>AvMed Medicare</t>
  </si>
  <si>
    <t>Florida Pace Centers, Inc.</t>
  </si>
  <si>
    <t>JMH Health Plan</t>
  </si>
  <si>
    <t>Coventry Health Plan of Florida</t>
  </si>
  <si>
    <t>Amerigroup Community Care</t>
  </si>
  <si>
    <t>Suncoast Neighborly Care, Inc.</t>
  </si>
  <si>
    <t>GA</t>
  </si>
  <si>
    <t>Southeast Community Care</t>
  </si>
  <si>
    <t>Coventry Health Care, INC.</t>
  </si>
  <si>
    <t>HealthSpring Life &amp; Health</t>
  </si>
  <si>
    <t>Advantra</t>
  </si>
  <si>
    <t>Blue Cross Blue Shield Healthcare Plan of Georgia</t>
  </si>
  <si>
    <t>HI</t>
  </si>
  <si>
    <t>Kaiser Foundation Health Plan, Inc. (Hawaii)</t>
  </si>
  <si>
    <t>AlohaCare</t>
  </si>
  <si>
    <t>HMSA's 65C Plus</t>
  </si>
  <si>
    <t>'Ohana Health Plan</t>
  </si>
  <si>
    <t>Akamai Advantage by HMSA</t>
  </si>
  <si>
    <t>Today's Options Powered by CCRx</t>
  </si>
  <si>
    <t>IA</t>
  </si>
  <si>
    <t>Coventry Health and Life Insurance Company</t>
  </si>
  <si>
    <t>Coventry Health Care of Iowa, Inc.</t>
  </si>
  <si>
    <t>ID</t>
  </si>
  <si>
    <t>Blue Cross Of Idaho Hlth Services Inc</t>
  </si>
  <si>
    <t>Regence BlueShield Of Idaho</t>
  </si>
  <si>
    <t>Blue Cross of Idaho</t>
  </si>
  <si>
    <t>IL</t>
  </si>
  <si>
    <t>Health Alliance Medical Plans</t>
  </si>
  <si>
    <t>OSF Care Preferred</t>
  </si>
  <si>
    <t>Erickson Advantage</t>
  </si>
  <si>
    <t>Mercy Health Plans of Missouri, Inc.</t>
  </si>
  <si>
    <t>Essence Healthcare</t>
  </si>
  <si>
    <t>IN</t>
  </si>
  <si>
    <t>ADVANTAGE Health Solutions, Inc.</t>
  </si>
  <si>
    <t>Clarian Health Plans, Inc. - Clarian Medicare</t>
  </si>
  <si>
    <t>Welborn Health Plans</t>
  </si>
  <si>
    <t>Advantage Health Solutions, Inc.</t>
  </si>
  <si>
    <t>Welborn HMO Senior Advantage</t>
  </si>
  <si>
    <t>KS</t>
  </si>
  <si>
    <t>Coventry Health And Life Ins. Company</t>
  </si>
  <si>
    <t>Via Christi HOPE</t>
  </si>
  <si>
    <t>COVENTRY HEALTH CARE</t>
  </si>
  <si>
    <t>KY</t>
  </si>
  <si>
    <t>Passport Advantage</t>
  </si>
  <si>
    <t>LA</t>
  </si>
  <si>
    <t>Peoples Health</t>
  </si>
  <si>
    <t>HUMANA HEALTH BENEFIT PLAN OF LOUISIANA, INC.</t>
  </si>
  <si>
    <t>Arcadian Community Care</t>
  </si>
  <si>
    <t>Humana Health Benefit Plan Of Louisiana Inc</t>
  </si>
  <si>
    <t>Humana Health Benefit Plan of LA, Inc.</t>
  </si>
  <si>
    <t>Pace Greater New Orleans</t>
  </si>
  <si>
    <t>Humana Health Benefit Plan of Louisiana Inc</t>
  </si>
  <si>
    <t>MA</t>
  </si>
  <si>
    <t>Tufts Health Plan or Tufts Medicare Preferred</t>
  </si>
  <si>
    <t>Blue Cross And Blue Shield Of Massachusetts, Inc.</t>
  </si>
  <si>
    <t>HARVARD PILGRIM HEALTH CARE INC.</t>
  </si>
  <si>
    <t>Senior Whole Health</t>
  </si>
  <si>
    <t>Commonwealth Care Alliance, Inc.</t>
  </si>
  <si>
    <t>United HealthCare Insurance Company</t>
  </si>
  <si>
    <t>Elder Service Plan of the North Shore</t>
  </si>
  <si>
    <t>HNE Medicare Advantage Plans</t>
  </si>
  <si>
    <t>Health New England, Inc.</t>
  </si>
  <si>
    <t>Fallon Senior Plan or NaviCare</t>
  </si>
  <si>
    <t>Elder Srvc Pln/Cambridge Health Alliance</t>
  </si>
  <si>
    <t>Elder Service Plan of Harbor Health Services, Inc</t>
  </si>
  <si>
    <t>Uphams Corner Health Committee, Inc.</t>
  </si>
  <si>
    <t>Elder Svc Pln/E Boston Health Center</t>
  </si>
  <si>
    <t>Fallon Community Health Plan - Summit ElderCare</t>
  </si>
  <si>
    <t>Tufts Health Plan Medicare Preferred</t>
  </si>
  <si>
    <t>MD</t>
  </si>
  <si>
    <t>Kaiser Permanente Medicare Plus</t>
  </si>
  <si>
    <t>Hopkins Elderplus</t>
  </si>
  <si>
    <t>ME</t>
  </si>
  <si>
    <t>Martin's Point Generations Advantage</t>
  </si>
  <si>
    <t>Northeast Community Care</t>
  </si>
  <si>
    <t>MI</t>
  </si>
  <si>
    <t>Priority Health Medicare</t>
  </si>
  <si>
    <t>PriorityMedicare</t>
  </si>
  <si>
    <t>HealthPlus of Michigan</t>
  </si>
  <si>
    <t>CentraCare</t>
  </si>
  <si>
    <t>HealthPlus</t>
  </si>
  <si>
    <t>Alliance Medicare PPO</t>
  </si>
  <si>
    <t>Molina Healthcare of Michigan</t>
  </si>
  <si>
    <t>HAP Senior Plus</t>
  </si>
  <si>
    <t>Fidelis SecureCare Of Michigan</t>
  </si>
  <si>
    <t>Care Resources</t>
  </si>
  <si>
    <t>Paramount Elite</t>
  </si>
  <si>
    <t>LIFECIRCLES</t>
  </si>
  <si>
    <t>Center for Senior Independence</t>
  </si>
  <si>
    <t>HAP Midwest Advantage</t>
  </si>
  <si>
    <t>Great Lakes Personal Care Plus</t>
  </si>
  <si>
    <t>MN</t>
  </si>
  <si>
    <t>Blue Plus</t>
  </si>
  <si>
    <t>UCare</t>
  </si>
  <si>
    <t>UCare Minnesota</t>
  </si>
  <si>
    <t>HealthPartners Classic MN Senior Health Options</t>
  </si>
  <si>
    <t>HealthPartners Classic Plan</t>
  </si>
  <si>
    <t>HealthPartners Freedom Plan</t>
  </si>
  <si>
    <t>PrimeWest Health</t>
  </si>
  <si>
    <t>Primewest Health</t>
  </si>
  <si>
    <t>South Country Health Alliance</t>
  </si>
  <si>
    <t>FirstPlan Blue</t>
  </si>
  <si>
    <t>Metropolitan Health Plan MSHO</t>
  </si>
  <si>
    <t>Itasca Medical Care/IMCare Classic</t>
  </si>
  <si>
    <t>MO</t>
  </si>
  <si>
    <t>Blue Cross Blue Shield of Missouri</t>
  </si>
  <si>
    <t>Premier Health Insurance Company, Inc.</t>
  </si>
  <si>
    <t>Mercy Health Plans, Inc.</t>
  </si>
  <si>
    <t>Alexian Brothers Community Services</t>
  </si>
  <si>
    <t>MS</t>
  </si>
  <si>
    <t>Healthspring, Inc.</t>
  </si>
  <si>
    <t>MT</t>
  </si>
  <si>
    <t>NC</t>
  </si>
  <si>
    <t>Piedmont Health SeniorCare</t>
  </si>
  <si>
    <t>PARTNERS National Health Plans, a BCBSNC company</t>
  </si>
  <si>
    <t>Fidelis SecureCare of North Carolina</t>
  </si>
  <si>
    <t>AMERICA'S 1ST CHOICE INSURANCE COMPANY OF NC, INC.</t>
  </si>
  <si>
    <t>Blue Cross and Blue Shield of North Carolina</t>
  </si>
  <si>
    <t>America's 1st Choice Insurance Company of NC</t>
  </si>
  <si>
    <t>Elderhaus PACE</t>
  </si>
  <si>
    <t>ND</t>
  </si>
  <si>
    <t>NE</t>
  </si>
  <si>
    <t>Coventry Health Care of Nebraska Advantra</t>
  </si>
  <si>
    <t>NH</t>
  </si>
  <si>
    <t>NJ</t>
  </si>
  <si>
    <t>Horizon Blue Cross Blue Shield of New Jersey, Inc.</t>
  </si>
  <si>
    <t>AmeriHealth 65</t>
  </si>
  <si>
    <t>LIFE at Lourdes</t>
  </si>
  <si>
    <t>Healthfirst NJ Medicare Plan</t>
  </si>
  <si>
    <t>Healthfirst NJ</t>
  </si>
  <si>
    <t>LIFE St. Francis</t>
  </si>
  <si>
    <t>United HealthCare Insuance Company</t>
  </si>
  <si>
    <t>NM</t>
  </si>
  <si>
    <t>Presbyterian Senior Care (HMO)</t>
  </si>
  <si>
    <t>Presbyterian MediCare PPO</t>
  </si>
  <si>
    <t>HISC - Blue Cross Blue Shield of New Mexico</t>
  </si>
  <si>
    <t>Total Community Care</t>
  </si>
  <si>
    <t>Lovelace Medicare Plan provided by BCBSNM</t>
  </si>
  <si>
    <t>Molina Healthcare of New Mexico, Inc.</t>
  </si>
  <si>
    <t>AMERIGROUP Community Care of New Mexico</t>
  </si>
  <si>
    <t>Amerigroup Community Care of New Mexico</t>
  </si>
  <si>
    <t>PHYSICIANS HEALTH CHOICE OF NEW MEXICO</t>
  </si>
  <si>
    <t>Lovelace Senior Plan</t>
  </si>
  <si>
    <t>NV</t>
  </si>
  <si>
    <t>CareMore Health Plan of Nevada</t>
  </si>
  <si>
    <t>Molina Healthcare of Nevada</t>
  </si>
  <si>
    <t>Universal Health Care of Nevada, Inc.</t>
  </si>
  <si>
    <t>Senior Care Plus</t>
  </si>
  <si>
    <t>NY</t>
  </si>
  <si>
    <t>CDPHP Medicare Choices</t>
  </si>
  <si>
    <t>Senior Whole Health of New York</t>
  </si>
  <si>
    <t>MVP GoldAnywhere</t>
  </si>
  <si>
    <t>MVP HEALTH CARE</t>
  </si>
  <si>
    <t>Fidelis Care</t>
  </si>
  <si>
    <t>BlueCross BlueShield of WNY and BlueShield of NENY</t>
  </si>
  <si>
    <t>CDPHP Medicare Choice</t>
  </si>
  <si>
    <t>Traditional Blue Medicare PPO</t>
  </si>
  <si>
    <t>Empire BlueCross BlueShield</t>
  </si>
  <si>
    <t>Empire BlueCross BlueShield HMO</t>
  </si>
  <si>
    <t>Senior Blue</t>
  </si>
  <si>
    <t>Excellus Health Plan, Inc.</t>
  </si>
  <si>
    <t>Independent Health</t>
  </si>
  <si>
    <t>MetroPlus Health Plan</t>
  </si>
  <si>
    <t>ArchCare Advantage</t>
  </si>
  <si>
    <t>Touchstone Health</t>
  </si>
  <si>
    <t>Comprehensive Care Management Corp.</t>
  </si>
  <si>
    <t>Liberty Health Advantage</t>
  </si>
  <si>
    <t>Elderplan, Inc.</t>
  </si>
  <si>
    <t>Healthfirst Medicare Plan</t>
  </si>
  <si>
    <t>VNSNY CHOICE Medicare</t>
  </si>
  <si>
    <t>Affinity Health Plan</t>
  </si>
  <si>
    <t>Health Plus Elite</t>
  </si>
  <si>
    <t>GuildNet</t>
  </si>
  <si>
    <t>Access Medicare</t>
  </si>
  <si>
    <t>EmblemHealth Medicare PPO</t>
  </si>
  <si>
    <t>AmeriChoice Personal Care Plus</t>
  </si>
  <si>
    <t>ArchCare Advantage,HMO SNP</t>
  </si>
  <si>
    <t>Health Net Of NY</t>
  </si>
  <si>
    <t>GHI Medicare Choice PPO</t>
  </si>
  <si>
    <t>HIP Health Plan of Greater New York</t>
  </si>
  <si>
    <t>EmblemHealth Medicare HMO</t>
  </si>
  <si>
    <t>Humana Insurance Company of New York</t>
  </si>
  <si>
    <t>ArchCare Advantage,HMO</t>
  </si>
  <si>
    <t>Preferred Care Gold</t>
  </si>
  <si>
    <t>Neighborhood Health Providers</t>
  </si>
  <si>
    <t>Elderplan</t>
  </si>
  <si>
    <t>Humana Health Company of New York, Inc.</t>
  </si>
  <si>
    <t>Independent Living For Seniors, Inc.</t>
  </si>
  <si>
    <t>Excellus BlueCross BlueShield</t>
  </si>
  <si>
    <t>Preferred Care GoldAnywhere</t>
  </si>
  <si>
    <t>ArchCare Senior Life</t>
  </si>
  <si>
    <t>Independent Living Srvcs Of Central Ny</t>
  </si>
  <si>
    <t>Senior Care Connection, Inc.</t>
  </si>
  <si>
    <t>OH</t>
  </si>
  <si>
    <t>The Health Plan</t>
  </si>
  <si>
    <t>PrimeTime Health Plan</t>
  </si>
  <si>
    <t>MediGold</t>
  </si>
  <si>
    <t>HealthAmerica Advantra</t>
  </si>
  <si>
    <t>Concordia Care</t>
  </si>
  <si>
    <t>CareSource</t>
  </si>
  <si>
    <t>Advantage Plans from Medical Mutual of Ohio</t>
  </si>
  <si>
    <t>SummaCare Medicare Advantage Plans</t>
  </si>
  <si>
    <t>SummaCare Secure</t>
  </si>
  <si>
    <t>TriHealth SeniorLink</t>
  </si>
  <si>
    <t>Carelink Advantra PPO</t>
  </si>
  <si>
    <t>OK</t>
  </si>
  <si>
    <t>CommunityCare Senior Health Plan (HMO)</t>
  </si>
  <si>
    <t>Arcadian Health Plan</t>
  </si>
  <si>
    <t>Arcadian Heatlh Plan</t>
  </si>
  <si>
    <t>HISC - Blue Cross And Blue Shield Of Oklahoma</t>
  </si>
  <si>
    <t>Generations Healthcare</t>
  </si>
  <si>
    <t>OR</t>
  </si>
  <si>
    <t>Kaiser Foundation Health Plan of the NW</t>
  </si>
  <si>
    <t>Samaritan Advantage Health Plan</t>
  </si>
  <si>
    <t>FamilyCare Health Plans, Inc.</t>
  </si>
  <si>
    <t>CareOregon Advantage</t>
  </si>
  <si>
    <t>Providence Health Plans</t>
  </si>
  <si>
    <t>Health Net Medicare Advantage</t>
  </si>
  <si>
    <t>Regence BlueCross BlueShield Of Oregon</t>
  </si>
  <si>
    <t>ATRIO MyAdvantage</t>
  </si>
  <si>
    <t>Clear Choice Health Plans</t>
  </si>
  <si>
    <t>PacificSource Medicare</t>
  </si>
  <si>
    <t>ATRIO Health Plans</t>
  </si>
  <si>
    <t>Clear One Health Plans</t>
  </si>
  <si>
    <t>Trillium Advantage</t>
  </si>
  <si>
    <t>Marion Polk Community Health Plan Advantage, Inc.</t>
  </si>
  <si>
    <t>Providence ElderPlace Portland</t>
  </si>
  <si>
    <t>PA</t>
  </si>
  <si>
    <t>Gateway Health Plan Medicare Assured</t>
  </si>
  <si>
    <t>Unison Advantage</t>
  </si>
  <si>
    <t>Highmark Health Services</t>
  </si>
  <si>
    <t>Geisinger Gold</t>
  </si>
  <si>
    <t>Community LIFE</t>
  </si>
  <si>
    <t>LIFE Pittsburgh</t>
  </si>
  <si>
    <t>UPMC Health Plan</t>
  </si>
  <si>
    <t>HealthAmerica</t>
  </si>
  <si>
    <t>LIFE Beaver and Lawrence Counties</t>
  </si>
  <si>
    <t>Keystone Health Plan Central, Inc.</t>
  </si>
  <si>
    <t>Advantra PPO</t>
  </si>
  <si>
    <t>Geisinger Health Plan Gold</t>
  </si>
  <si>
    <t>Personal Choice 65 PPO</t>
  </si>
  <si>
    <t>LIFE St. Mary</t>
  </si>
  <si>
    <t>Senior Partners</t>
  </si>
  <si>
    <t>Keystone 65</t>
  </si>
  <si>
    <t>Keystone 65 HMO</t>
  </si>
  <si>
    <t>Senior LIFE Johnstown</t>
  </si>
  <si>
    <t>Geisinger Health Plan Gold Choice</t>
  </si>
  <si>
    <t>Personal Choice 65</t>
  </si>
  <si>
    <t>Geisinger Health Plan Gold Preferred</t>
  </si>
  <si>
    <t>Life at Home, LLC</t>
  </si>
  <si>
    <t>Senior LIFE Washington / Uniontown / Green</t>
  </si>
  <si>
    <t>LIFE Geisinger</t>
  </si>
  <si>
    <t>Trustees Of The University Of Pennsylvania</t>
  </si>
  <si>
    <t>Mercy LIFE</t>
  </si>
  <si>
    <t>NewCourtland LIFE Program</t>
  </si>
  <si>
    <t>RI</t>
  </si>
  <si>
    <t>Blue Cross &amp; Blue Shield Of Rhode Island</t>
  </si>
  <si>
    <t>Pace Organization Of Rhode Island</t>
  </si>
  <si>
    <t>SC</t>
  </si>
  <si>
    <t>Blue Cross Blue Shield of South Carolina</t>
  </si>
  <si>
    <t>AMERICA'S 1ST CHOICE HEALTH PLANS, INC.</t>
  </si>
  <si>
    <t>Guardian Healthcare, Inc.</t>
  </si>
  <si>
    <t>InStil Health Insurance Company</t>
  </si>
  <si>
    <t>America's 1st Choice Health Plans, Inc.</t>
  </si>
  <si>
    <t>Palmetto SeniorCare</t>
  </si>
  <si>
    <t>The Methodist Oaks d.b.a. The Oaks PACE</t>
  </si>
  <si>
    <t>SD</t>
  </si>
  <si>
    <t>TN</t>
  </si>
  <si>
    <t>AmeriChoice Secure Plus Complete</t>
  </si>
  <si>
    <t>Cariten Health Plan, Inc.</t>
  </si>
  <si>
    <t>BlueCross BlueShield of Tennessee</t>
  </si>
  <si>
    <t>Healthspring</t>
  </si>
  <si>
    <t>Cariten Senior Health</t>
  </si>
  <si>
    <t>UAHC Gold</t>
  </si>
  <si>
    <t>TX</t>
  </si>
  <si>
    <t>Texas HealthSpring</t>
  </si>
  <si>
    <t>PHYSICIANS HEALTH CHOICE</t>
  </si>
  <si>
    <t>Scott and White Health Plan SeniorCare</t>
  </si>
  <si>
    <t>HUMANA HEALTH PLAN OF TEXAS, INC.</t>
  </si>
  <si>
    <t>Advantage by Superior HealthPlan</t>
  </si>
  <si>
    <t>Molina Healthcare of Texas, Inc.</t>
  </si>
  <si>
    <t>HealthSpring</t>
  </si>
  <si>
    <t>SelectCare of Texas, LLC</t>
  </si>
  <si>
    <t>Valley Baptist Health Plans</t>
  </si>
  <si>
    <t>HealthSpring Medicare Advantage PPO</t>
  </si>
  <si>
    <t>TexasFirst Health Plans</t>
  </si>
  <si>
    <t>Universal HMO of Texas, Inc.</t>
  </si>
  <si>
    <t>Bienvivir Senior Health Services</t>
  </si>
  <si>
    <t>Texas Community Care</t>
  </si>
  <si>
    <t>KelseyCare Advantage</t>
  </si>
  <si>
    <t>FirstCare Advantage</t>
  </si>
  <si>
    <t>HISC - Blue Cross Blue Shield of Texas</t>
  </si>
  <si>
    <t>Fidelis SecureCare of Texas, Inc.</t>
  </si>
  <si>
    <t>Amarillo Multisvc Ctr For The Aging Inc</t>
  </si>
  <si>
    <t>HealthSpring Medicare Advantage</t>
  </si>
  <si>
    <t>Care N’ Care Insurance Company</t>
  </si>
  <si>
    <t>UT</t>
  </si>
  <si>
    <t>Altius Health Plans</t>
  </si>
  <si>
    <t>Altius Advantra</t>
  </si>
  <si>
    <t>Molina Healthcare of Utah</t>
  </si>
  <si>
    <t>Humana Medical Plan of Utah</t>
  </si>
  <si>
    <t>Humana Medical Plan of Utah, Inc.</t>
  </si>
  <si>
    <t>VA</t>
  </si>
  <si>
    <t>Optima Medicare</t>
  </si>
  <si>
    <t>Optima Medicare Preferred</t>
  </si>
  <si>
    <t>Riverside PACE</t>
  </si>
  <si>
    <t>VT</t>
  </si>
  <si>
    <t>WA</t>
  </si>
  <si>
    <t>Community HealthFirst Medicare Advantage Plan</t>
  </si>
  <si>
    <t>Group Health Options, Inc.</t>
  </si>
  <si>
    <t>Providence Health System</t>
  </si>
  <si>
    <t>Molina Healthcare of Washington, Inc.</t>
  </si>
  <si>
    <t>Puget Sound Health Partners</t>
  </si>
  <si>
    <t>WI</t>
  </si>
  <si>
    <t>Humana WisconsinHealth Organization Insurance Corp</t>
  </si>
  <si>
    <t>Network Platinum Medicare Advantage Plans</t>
  </si>
  <si>
    <t>Community Health Partnership</t>
  </si>
  <si>
    <t>Care Wisconsin Health Plan, Inc.</t>
  </si>
  <si>
    <t>Humana Wisconsin Health Organization Insurance Cor</t>
  </si>
  <si>
    <t>iCare</t>
  </si>
  <si>
    <t>UnitedHealthcare Personal Care Plus</t>
  </si>
  <si>
    <t>Community Care</t>
  </si>
  <si>
    <t>WV</t>
  </si>
  <si>
    <t>Mountain State Blue Cross Blue Shield</t>
  </si>
  <si>
    <t>Highmark Health Insurance Company</t>
  </si>
  <si>
    <t>WY</t>
  </si>
  <si>
    <t>HIP an EmblemHealth Company</t>
  </si>
  <si>
    <t>GHI HMO an EmblemHealth Company</t>
  </si>
  <si>
    <t>Health Net Insurance of New York, Inc.</t>
  </si>
  <si>
    <t>Medical Associates Health Plan of WI</t>
  </si>
  <si>
    <t>Union Health Service, Inc.</t>
  </si>
  <si>
    <t>Tab MLR Data contains the MLR business state, company name, and group affiliation for observations where MLR was nonmissing and nonnegative.</t>
  </si>
  <si>
    <t>AK</t>
  </si>
  <si>
    <t>state_code</t>
  </si>
  <si>
    <t>state and company</t>
  </si>
  <si>
    <t>state and org name</t>
  </si>
  <si>
    <t/>
  </si>
  <si>
    <t xml:space="preserve"> </t>
  </si>
  <si>
    <t>mlr_name_exact</t>
  </si>
  <si>
    <t>mlr_name</t>
  </si>
  <si>
    <t>Created by:</t>
  </si>
  <si>
    <t>AT</t>
  </si>
  <si>
    <t>Florida Blue</t>
  </si>
  <si>
    <t>Blue Cross and Blue Shield of Massachusetts</t>
  </si>
  <si>
    <t>HealthPartners</t>
  </si>
  <si>
    <t>AmeriHealth 65 Preferred HMO</t>
  </si>
  <si>
    <t>Lovelace Medicare Plan</t>
  </si>
  <si>
    <t>BlueCross BlueShield of WNY or BlueShield of NENY</t>
  </si>
  <si>
    <t>BCBS of WNY/BS of NENY/HealthNow New York Inc.</t>
  </si>
  <si>
    <t>BlueCross BlueShield of WNY and BlueShield of NEN</t>
  </si>
  <si>
    <t>Advantage Plan from Medical Mutual of Ohio</t>
  </si>
  <si>
    <t>MODA Health Plan, Inc.</t>
  </si>
  <si>
    <t>UnitedHealthcare of New England, Inc.</t>
  </si>
  <si>
    <t>Medica Health Plans of Wisconsin</t>
  </si>
  <si>
    <t>CA UnitedHealthcare</t>
  </si>
  <si>
    <t>CO Kaiser Permanente</t>
  </si>
  <si>
    <t>CO CIGNA Medicare Access</t>
  </si>
  <si>
    <t>CO UnitedHealthcare</t>
  </si>
  <si>
    <t>FL Florida Blue</t>
  </si>
  <si>
    <t>GA UnitedHealthcare</t>
  </si>
  <si>
    <t>MA Blue Cross and Blue Shield of Massachusetts</t>
  </si>
  <si>
    <t>ME Anthem Insurance Companies, Inc.</t>
  </si>
  <si>
    <t>MN HealthPartners</t>
  </si>
  <si>
    <t>MO UnitedHealthcare</t>
  </si>
  <si>
    <t>NC Aetna Medicare</t>
  </si>
  <si>
    <t>NE UnitedHealthcare</t>
  </si>
  <si>
    <t>NJ SecureHorizons by UnitedHealthcare</t>
  </si>
  <si>
    <t>NJ AmeriHealth 65 Preferred HMO</t>
  </si>
  <si>
    <t>NM Lovelace Medicare Plan</t>
  </si>
  <si>
    <t>NV Secure Horizons Medicare Advantage Plan</t>
  </si>
  <si>
    <t>NY BlueCross BlueShield of WNY or BlueShield of NENY</t>
  </si>
  <si>
    <t>NY BCBS of WNY/BS of NENY/HealthNow New York Inc.</t>
  </si>
  <si>
    <t>NY BlueCross BlueShield of WNY and BlueShield of NEN</t>
  </si>
  <si>
    <t>NY UnitedHealthcare</t>
  </si>
  <si>
    <t>OH Advantage Plan from Medical Mutual of Ohio</t>
  </si>
  <si>
    <t>OH UPMC Health Plan</t>
  </si>
  <si>
    <t>OR AARP MedicareComplete from SecureHorizons</t>
  </si>
  <si>
    <t>OR MODA Health Plan, Inc.</t>
  </si>
  <si>
    <t>OR Secure Horizons Medicare Advantage Plan</t>
  </si>
  <si>
    <t>OR Unicare Life &amp; Health Ins. Company</t>
  </si>
  <si>
    <t>PA Highmark, Inc.</t>
  </si>
  <si>
    <t>RI UnitedHealthcare of New England, Inc.</t>
  </si>
  <si>
    <t>RI AARP MedicareComplete from SecureHorizons</t>
  </si>
  <si>
    <t>UT Aetna Medicare</t>
  </si>
  <si>
    <t>VT CIGNA Medicare Access</t>
  </si>
  <si>
    <t>VT MVP HEALTH CARE</t>
  </si>
  <si>
    <t>WI Aetna Medicare</t>
  </si>
  <si>
    <t>WI Medica Health Plans of Wisconsin</t>
  </si>
  <si>
    <t>WI UnitedHealthcare</t>
  </si>
  <si>
    <t>WI HealthPartners Freedom Plan</t>
  </si>
  <si>
    <t>WV UPMC Health Plan</t>
  </si>
  <si>
    <t>WV Aetna Medicare</t>
  </si>
  <si>
    <t>UniCare</t>
  </si>
  <si>
    <t>HealthMarkets Care Assured</t>
  </si>
  <si>
    <t>Sierra Optima</t>
  </si>
  <si>
    <t>Humana Health Plan, Inc</t>
  </si>
  <si>
    <t>Advantra® Savings</t>
  </si>
  <si>
    <t>Fresenius Medical Care Health Plan</t>
  </si>
  <si>
    <t>Sun Health MediSunONE</t>
  </si>
  <si>
    <t>Mennonite Mutual Aid Association</t>
  </si>
  <si>
    <t>MediSun CareOptions</t>
  </si>
  <si>
    <t>Sierra Spectrum</t>
  </si>
  <si>
    <t>MediSun Private Fee For Service</t>
  </si>
  <si>
    <t>MediSunONE</t>
  </si>
  <si>
    <t>Advantra Savings</t>
  </si>
  <si>
    <t>Arkansas Blue Cross  - Medi-Pak Advantage</t>
  </si>
  <si>
    <t>ARKANSAS BLUE CROSS AND BLUE SHIELD</t>
  </si>
  <si>
    <t>Care Improvement PPO</t>
  </si>
  <si>
    <t>Arkansas Blue Cross and Blue Shield</t>
  </si>
  <si>
    <t>Brand New Day</t>
  </si>
  <si>
    <t>BC LIFE &amp; HEALTH INSURANCE COMPANY</t>
  </si>
  <si>
    <t>Anthem Blue Cross Life &amp; Health Insurance Company</t>
  </si>
  <si>
    <t>Medcore HP</t>
  </si>
  <si>
    <t>MD Care Inc</t>
  </si>
  <si>
    <t>Golden State Medicare Health Plan</t>
  </si>
  <si>
    <t>Denver Health Medical Plan</t>
  </si>
  <si>
    <t>Anthem Blue Cross &amp; Blue Shield</t>
  </si>
  <si>
    <t>ConnectiCare Insurance Company, Inc.</t>
  </si>
  <si>
    <t>SecureHorizons by UnitedHealthCare</t>
  </si>
  <si>
    <t>Bravo  Health</t>
  </si>
  <si>
    <t>PUP</t>
  </si>
  <si>
    <t>First Medical Health Plan of Florida, Inc.</t>
  </si>
  <si>
    <t>AvMed Medicare Preferred PPO</t>
  </si>
  <si>
    <t>Health Options, Inc / Blue Cross Blue Shield of F</t>
  </si>
  <si>
    <t>FLORIDA HEALTHCARE PLUS</t>
  </si>
  <si>
    <t>BlueMedicare Regional PPO</t>
  </si>
  <si>
    <t>Vista Healthplan, Inc.</t>
  </si>
  <si>
    <t>Doctorcare, Inc.</t>
  </si>
  <si>
    <t>Simply Healthcare Plans, Inc.</t>
  </si>
  <si>
    <t>Health Options, Inc.\BCBSF</t>
  </si>
  <si>
    <t>Blue Cross and Blue Shield of Florida</t>
  </si>
  <si>
    <t>Leon Medical Centers Health, Inc.</t>
  </si>
  <si>
    <t>Instil Health Insurance Company</t>
  </si>
  <si>
    <t>Blue Cross Blue Shield of Georgia</t>
  </si>
  <si>
    <t>PersonalCare</t>
  </si>
  <si>
    <t>PersonalCare Advantra</t>
  </si>
  <si>
    <t>Essence Inc.</t>
  </si>
  <si>
    <t>PersonalCare Advantra Gold and Silver</t>
  </si>
  <si>
    <t>OSF Care Advantage</t>
  </si>
  <si>
    <t>Medical Associates Health Plan, Inc.</t>
  </si>
  <si>
    <t>Indiana University Health Plans - Medicare</t>
  </si>
  <si>
    <t>Arnett HMO</t>
  </si>
  <si>
    <t>The M Plan, Senior Smart Choice</t>
  </si>
  <si>
    <t>Clarian Health Plans, Inc. - Senior Smart Choice</t>
  </si>
  <si>
    <t>Wellmark Blue Cross and Blue Shield of Iowa</t>
  </si>
  <si>
    <t>Blue Cross Blue Shield of Massachusetts</t>
  </si>
  <si>
    <t>Blue Cross and Blue Shield of Minnesota</t>
  </si>
  <si>
    <t>Blue Cross Blue Shield of Minnesota</t>
  </si>
  <si>
    <t>Metropolitan Health Plan</t>
  </si>
  <si>
    <t>HealthPartners Liberty Medicare</t>
  </si>
  <si>
    <t>North Star Advantage / North Star Advantage Plus</t>
  </si>
  <si>
    <t>Blue Cross and Blue Shield of Montana</t>
  </si>
  <si>
    <t>New West Medicare</t>
  </si>
  <si>
    <t>Coventry Health Care of Nebraska, Inc.</t>
  </si>
  <si>
    <t>Sierra Nevada Spectrum</t>
  </si>
  <si>
    <t>Senior Dimensions</t>
  </si>
  <si>
    <t>Horizon Blue Cross Blue Shield of New Jersey, Inc</t>
  </si>
  <si>
    <t>Presbyterian Senior Care</t>
  </si>
  <si>
    <t>Lovelace Insurance Company</t>
  </si>
  <si>
    <t>QUALITY HEALTH PLANS</t>
  </si>
  <si>
    <t>ActiveSaver MSA or BlueSaver MSA</t>
  </si>
  <si>
    <t>ActiveSaver MSA and BlueSaver MSA</t>
  </si>
  <si>
    <t>Fidelis</t>
  </si>
  <si>
    <t>MVP Gold</t>
  </si>
  <si>
    <t>GHI Medicare Private Fee for Service</t>
  </si>
  <si>
    <t>CDPHP Medicare PPO</t>
  </si>
  <si>
    <t>MPower Health</t>
  </si>
  <si>
    <t>Forever Blue Medicare PPO</t>
  </si>
  <si>
    <t>Traditional Blue Medicare PFFS</t>
  </si>
  <si>
    <t>HIP Medicare HMO</t>
  </si>
  <si>
    <t>Hip Insurance Company Of New York</t>
  </si>
  <si>
    <t>GHI Medicare PPO</t>
  </si>
  <si>
    <t>VNS CHOICE Medicare</t>
  </si>
  <si>
    <t>EASY CHOICE HEALTH PLAN OF NEW YORK</t>
  </si>
  <si>
    <t>HealthPlus Elite</t>
  </si>
  <si>
    <t>Blue Medicare HMO</t>
  </si>
  <si>
    <t>Blue Medicare PPO</t>
  </si>
  <si>
    <t>PARTNERS Medicare Choice</t>
  </si>
  <si>
    <t>PARTNERS Medicare Options</t>
  </si>
  <si>
    <t>AMERICA'S 1ST CHOICE INSURANCE COMPANY OF NC, INC</t>
  </si>
  <si>
    <t>Blue Cross Blue Shield of North Dakota</t>
  </si>
  <si>
    <t>Health Plan SecureFreedom</t>
  </si>
  <si>
    <t>Health Plan SecureChoice</t>
  </si>
  <si>
    <t>Molina Healthcare of Ohio</t>
  </si>
  <si>
    <t>SummaCare</t>
  </si>
  <si>
    <t>Blue Cross And Blue Shield Of Oklahoma</t>
  </si>
  <si>
    <t>CommunityCare Senior Health Plan</t>
  </si>
  <si>
    <t>MedicareBlue PPO</t>
  </si>
  <si>
    <t>ODS Advantage</t>
  </si>
  <si>
    <t>Marion Polk Community Health Plan Advantage</t>
  </si>
  <si>
    <t>Fresenius Medical Health Plan, Inc. - Pennsylvania</t>
  </si>
  <si>
    <t>Select Advantage</t>
  </si>
  <si>
    <t>America's 1st Choice Health Plans</t>
  </si>
  <si>
    <t>Carolina Medicare Prime</t>
  </si>
  <si>
    <t>BlueChoice HealthPlan</t>
  </si>
  <si>
    <t>Wellmark Blue Cross Blue Shield of South Dakota</t>
  </si>
  <si>
    <t>Cariten Senior Health (PPO)</t>
  </si>
  <si>
    <t>Fresenius Medical Care Health Plan, Inc. - Texas</t>
  </si>
  <si>
    <t>Care N' Care Health Plan</t>
  </si>
  <si>
    <t>HUMANA HEALTH PLAN OF TEXAS,INC.</t>
  </si>
  <si>
    <t>Evercare Of Texas, LLC</t>
  </si>
  <si>
    <t>UNITED HEALTHCARE INSURANCE COMPANY</t>
  </si>
  <si>
    <t>Piedmont Medicare Advantage</t>
  </si>
  <si>
    <t>Carilion Clinic Medicare Health Plan</t>
  </si>
  <si>
    <t>Soundpath Health</t>
  </si>
  <si>
    <t>Network PlatinumPlus</t>
  </si>
  <si>
    <t>Humana WisconsinHealth Organization Insurance Cor</t>
  </si>
  <si>
    <t>Medical Associates Clinic Health Plan of Wisconsi</t>
  </si>
  <si>
    <t>Advocare</t>
  </si>
  <si>
    <t>Dean Health Plan, Inc.</t>
  </si>
  <si>
    <t>Security Health Plan Of Wisconsin, Inc</t>
  </si>
  <si>
    <t>Network Platinum Medicare Products</t>
  </si>
  <si>
    <t>Network Health Insurance Corporation PFFS Plan</t>
  </si>
  <si>
    <t>NHIC Medicare Products</t>
  </si>
  <si>
    <t>Medical Associates Clinic Health Plan of Wisconsin</t>
  </si>
  <si>
    <t>Today's Health</t>
  </si>
  <si>
    <t>MercyCare Health Plans</t>
  </si>
  <si>
    <t>AL Advantra® Freedom</t>
  </si>
  <si>
    <t>AL Today's Options</t>
  </si>
  <si>
    <t>AL UnitedHealthcare</t>
  </si>
  <si>
    <t>AL Universal American</t>
  </si>
  <si>
    <t>AL SecureHorizons MedicareDirect</t>
  </si>
  <si>
    <t>AL UniCare</t>
  </si>
  <si>
    <t>AL Today's Options Powered by CCRx</t>
  </si>
  <si>
    <t>AL Sterling Life Insurance Company</t>
  </si>
  <si>
    <t>AL Unicare Life &amp; Health Ins. Company</t>
  </si>
  <si>
    <t>AL HealthMarkets Care Assured</t>
  </si>
  <si>
    <t>AL WellCare</t>
  </si>
  <si>
    <t>AL CIGNA Medicare Access</t>
  </si>
  <si>
    <t>AL Sierra Optima</t>
  </si>
  <si>
    <t>AL Humana Health Plan, Inc</t>
  </si>
  <si>
    <t>AL Aetna Medicare</t>
  </si>
  <si>
    <t>AL Advantra® Savings</t>
  </si>
  <si>
    <t>AL Fresenius Medical Care Health Plan</t>
  </si>
  <si>
    <t>AK Humana Insurance Company</t>
  </si>
  <si>
    <t>AK Aetna Medicare</t>
  </si>
  <si>
    <t>AK Sterling Life Insurance Company</t>
  </si>
  <si>
    <t>AK Advantra® Freedom</t>
  </si>
  <si>
    <t>AK Unicare Life &amp; Health Ins. Company</t>
  </si>
  <si>
    <t>AK SecureHorizons MedicareDirect</t>
  </si>
  <si>
    <t>AK UniCare</t>
  </si>
  <si>
    <t>AK Advantra® Savings</t>
  </si>
  <si>
    <t>AZ WellCare</t>
  </si>
  <si>
    <t>AZ UnitedHealthcare</t>
  </si>
  <si>
    <t>AZ Health Net</t>
  </si>
  <si>
    <t>AZ CIGNA Medicare Access</t>
  </si>
  <si>
    <t>AZ Sun Health MediSunONE</t>
  </si>
  <si>
    <t>AZ UniCare</t>
  </si>
  <si>
    <t>AZ Today's Options</t>
  </si>
  <si>
    <t>AZ Sierra Optima</t>
  </si>
  <si>
    <t>AZ Mennonite Mutual Aid Association</t>
  </si>
  <si>
    <t>AZ Today's Options Powered by CCRx</t>
  </si>
  <si>
    <t>AZ Advantra® Savings</t>
  </si>
  <si>
    <t>AZ HealthMarkets Care Assured</t>
  </si>
  <si>
    <t>AZ MediSun CareOptions</t>
  </si>
  <si>
    <t>AZ Sierra Spectrum</t>
  </si>
  <si>
    <t>AZ MediSun Private Fee For Service</t>
  </si>
  <si>
    <t>AZ MediSunONE</t>
  </si>
  <si>
    <t>AZ Advantra Savings</t>
  </si>
  <si>
    <t>AR Arkansas Blue Cross  - Medi-Pak Advantage</t>
  </si>
  <si>
    <t>AR CIGNA Medicare Access</t>
  </si>
  <si>
    <t>AR Unicare Life &amp; Health Ins. Company</t>
  </si>
  <si>
    <t>AR Sterling Life Insurance Company</t>
  </si>
  <si>
    <t>AR Arcadian Health Plan</t>
  </si>
  <si>
    <t>AR Today's Options Powered by CCRx</t>
  </si>
  <si>
    <t>AR UniCare</t>
  </si>
  <si>
    <t>AR HealthMarkets Care Assured</t>
  </si>
  <si>
    <t>AR Today's Option</t>
  </si>
  <si>
    <t>AR Today's Options</t>
  </si>
  <si>
    <t>AR ARKANSAS BLUE CROSS AND BLUE SHIELD</t>
  </si>
  <si>
    <t>AR UnitedHealthcare</t>
  </si>
  <si>
    <t>AR Sierra Optima</t>
  </si>
  <si>
    <t>AR SecureHorizons MedicareDirect</t>
  </si>
  <si>
    <t>AR Advantra® Savings</t>
  </si>
  <si>
    <t>AR Humana Health Plan, Inc</t>
  </si>
  <si>
    <t>AR Unison Advantage</t>
  </si>
  <si>
    <t>AR Care Improvement PPO</t>
  </si>
  <si>
    <t>AR SecureHorizons</t>
  </si>
  <si>
    <t>AR Arkansas Blue Cross and Blue Shield</t>
  </si>
  <si>
    <t>AR Aetna Medicare</t>
  </si>
  <si>
    <t>CA Mennonite Mutual Aid Association</t>
  </si>
  <si>
    <t>CA Brand New Day</t>
  </si>
  <si>
    <t>CA Advantra® Freedom</t>
  </si>
  <si>
    <t>CA Sterling Life Insurance Company</t>
  </si>
  <si>
    <t>CA Universal American Corp.</t>
  </si>
  <si>
    <t>CA BC LIFE &amp; HEALTH INSURANCE COMPANY</t>
  </si>
  <si>
    <t>CA Advantra® Savings</t>
  </si>
  <si>
    <t>CA Anthem Blue Cross Life &amp; Health Insurance Company</t>
  </si>
  <si>
    <t>CA Today's Options Powered by CCRx</t>
  </si>
  <si>
    <t>CA Sierra Optima</t>
  </si>
  <si>
    <t>CA HealthMarkets Care Assured</t>
  </si>
  <si>
    <t>CA Medcore HP</t>
  </si>
  <si>
    <t>CA MD Care Inc</t>
  </si>
  <si>
    <t>CA Arcadian Health Plan</t>
  </si>
  <si>
    <t>CA Fresenius Medical Care Health Plan</t>
  </si>
  <si>
    <t>CA Golden State Medicare Health Plan</t>
  </si>
  <si>
    <t>CO Today's Option</t>
  </si>
  <si>
    <t>CO Sterling Life Insurance Company</t>
  </si>
  <si>
    <t>CO HealthMarkets Care Assured</t>
  </si>
  <si>
    <t>CO Today's Options</t>
  </si>
  <si>
    <t>CO Mennonite Mutual Aid Association</t>
  </si>
  <si>
    <t>CO Colorado Choice Health Plans</t>
  </si>
  <si>
    <t>CO Sierra Optima</t>
  </si>
  <si>
    <t>CO Universal American Corp.</t>
  </si>
  <si>
    <t>CO Advantra® Savings</t>
  </si>
  <si>
    <t>CO Erickson Advantage</t>
  </si>
  <si>
    <t>CO Denver Health Medical Plan</t>
  </si>
  <si>
    <t>CO Anthem Blue Cross &amp; Blue Shield</t>
  </si>
  <si>
    <t>CO United Healthcare Insurance Company</t>
  </si>
  <si>
    <t>CT Anthem Insurance Companies, Inc.</t>
  </si>
  <si>
    <t>CT Universal American</t>
  </si>
  <si>
    <t>CT SecureHorizons by UnitedHealthcare</t>
  </si>
  <si>
    <t>CT Today's Option</t>
  </si>
  <si>
    <t>CT Today's Options</t>
  </si>
  <si>
    <t>CT SecureHorizons MedicareDirect</t>
  </si>
  <si>
    <t>CT Advantra® Freedom</t>
  </si>
  <si>
    <t>CT Fresenius Medical Care Health Plan</t>
  </si>
  <si>
    <t>CT Unicare Life &amp; Health Ins. Company</t>
  </si>
  <si>
    <t>CT Humana Insurance Company</t>
  </si>
  <si>
    <t>CT Advantra® Savings</t>
  </si>
  <si>
    <t>CT ConnectiCare Insurance Company, Inc.</t>
  </si>
  <si>
    <t>CT SecureHorizons</t>
  </si>
  <si>
    <t>CT SecureHorizons by UnitedHealthCare</t>
  </si>
  <si>
    <t>CT UniCare</t>
  </si>
  <si>
    <t>DE Bravo  Health</t>
  </si>
  <si>
    <t>DE Today's Options Powered by CCRx</t>
  </si>
  <si>
    <t>DE Mennonite Mutual Aid Association</t>
  </si>
  <si>
    <t>DE WellCare</t>
  </si>
  <si>
    <t>DE Today's Options</t>
  </si>
  <si>
    <t>DE Unicare Life &amp; Health Ins. Company</t>
  </si>
  <si>
    <t>DE SecureHorizons MedicareDirect</t>
  </si>
  <si>
    <t>DE UniCare</t>
  </si>
  <si>
    <t>DE Humana Insurance Company</t>
  </si>
  <si>
    <t>DE Advantra® Savings</t>
  </si>
  <si>
    <t>FL Universal American Corp.</t>
  </si>
  <si>
    <t>FL Mennonite Mutual Aid Association</t>
  </si>
  <si>
    <t>FL UniCare</t>
  </si>
  <si>
    <t>FL Unicare Life &amp; Health Ins. Company</t>
  </si>
  <si>
    <t>FL Sterling Life Insurance Company</t>
  </si>
  <si>
    <t>FL Today's Options</t>
  </si>
  <si>
    <t>FL PUP</t>
  </si>
  <si>
    <t>FL CIGNA Medicare Access</t>
  </si>
  <si>
    <t>FL SecureHorizons</t>
  </si>
  <si>
    <t>FL Today's Options Powered by CCRx</t>
  </si>
  <si>
    <t>FL First Medical Health Plan of Florida, Inc.</t>
  </si>
  <si>
    <t>FL Advantra® Savings</t>
  </si>
  <si>
    <t>FL HealthMarkets Care Assured</t>
  </si>
  <si>
    <t>FL AvMed Medicare Preferred PPO</t>
  </si>
  <si>
    <t>FL Health Options, Inc / Blue Cross Blue Shield of F</t>
  </si>
  <si>
    <t>FL FLORIDA HEALTHCARE PLUS</t>
  </si>
  <si>
    <t>FL PHYSICIANS HEALTH CHOICE</t>
  </si>
  <si>
    <t>FL Evercare® Health Plans</t>
  </si>
  <si>
    <t>FL BlueMedicare Regional PPO</t>
  </si>
  <si>
    <t>FL Vista Healthplan, Inc.</t>
  </si>
  <si>
    <t>FL Doctorcare, Inc.</t>
  </si>
  <si>
    <t>FL Simply Healthcare Plans, Inc.</t>
  </si>
  <si>
    <t>FL Health Options, Inc.\BCBSF</t>
  </si>
  <si>
    <t>FL Blue Cross and Blue Shield of Florida</t>
  </si>
  <si>
    <t>FL Leon Medical Centers Health, Inc.</t>
  </si>
  <si>
    <t>GA AMERICA'S 1ST CHOICE HEALTH PLANS, INC.</t>
  </si>
  <si>
    <t>GA Today's Options</t>
  </si>
  <si>
    <t>GA Health Net Pearl</t>
  </si>
  <si>
    <t>GA InStil Health Insurance Company</t>
  </si>
  <si>
    <t>GA Care Improvement Plus</t>
  </si>
  <si>
    <t>GA HealthMarkets Care Assured</t>
  </si>
  <si>
    <t>GA Instil Health Insurance Company</t>
  </si>
  <si>
    <t>GA Sierra Optima</t>
  </si>
  <si>
    <t>GA Advantra® Savings</t>
  </si>
  <si>
    <t>GA Blue Cross Blue Shield of Georgia</t>
  </si>
  <si>
    <t>GA Health Net</t>
  </si>
  <si>
    <t>GA Anthem Blue Cross and Blue Shield</t>
  </si>
  <si>
    <t>GA Coventry Health Care</t>
  </si>
  <si>
    <t>GA Advantra Savings</t>
  </si>
  <si>
    <t>GA SecureHorizons</t>
  </si>
  <si>
    <t>GA Amerigroup Community Care</t>
  </si>
  <si>
    <t>HI Unicare Life &amp; Health Ins. Company</t>
  </si>
  <si>
    <t>HI CIGNA Medicare Access</t>
  </si>
  <si>
    <t>HI UniCare</t>
  </si>
  <si>
    <t>HI SecureHorizons MedicareDirect</t>
  </si>
  <si>
    <t>HI Kaiser Permanente Senior Advantage</t>
  </si>
  <si>
    <t>HI Aetna Medicare</t>
  </si>
  <si>
    <t>HI Health Net Pearl</t>
  </si>
  <si>
    <t>HI Advantra® Freedom</t>
  </si>
  <si>
    <t>HI Health Net</t>
  </si>
  <si>
    <t>HI UnitedHealthcare</t>
  </si>
  <si>
    <t>HI SecureHorizons</t>
  </si>
  <si>
    <t>HI Sterling Life Insurance Company</t>
  </si>
  <si>
    <t>HI Advantra® Savings</t>
  </si>
  <si>
    <t>ID Universal American</t>
  </si>
  <si>
    <t>ID Unicare Life &amp; Health Ins. Company</t>
  </si>
  <si>
    <t>ID Today's Options</t>
  </si>
  <si>
    <t>ID Mennonite Mutual Aid Association</t>
  </si>
  <si>
    <t>ID Advantra® Freedom</t>
  </si>
  <si>
    <t>ID Universal American Corp.</t>
  </si>
  <si>
    <t>ID Sierra Optima</t>
  </si>
  <si>
    <t>ID UniCare</t>
  </si>
  <si>
    <t>ID HealthMarkets Care Assured</t>
  </si>
  <si>
    <t>ID Advantra® Savings</t>
  </si>
  <si>
    <t>ID SecureHorizons</t>
  </si>
  <si>
    <t>ID PacificSource Medicare</t>
  </si>
  <si>
    <t>ID UnitedHealthcare</t>
  </si>
  <si>
    <t>ID Aetna Medicare</t>
  </si>
  <si>
    <t>ID Humana Health Plan, Inc</t>
  </si>
  <si>
    <t>IL Sterling Life Insurance Company</t>
  </si>
  <si>
    <t>IL Today's Options</t>
  </si>
  <si>
    <t>IL Mennonite Mutual Aid Association</t>
  </si>
  <si>
    <t>IL Universal American Corp.</t>
  </si>
  <si>
    <t>IL CIGNA Medicare Access</t>
  </si>
  <si>
    <t>IL Today's Option</t>
  </si>
  <si>
    <t>IL HealthMarkets Care Assured</t>
  </si>
  <si>
    <t>IL UniCare</t>
  </si>
  <si>
    <t>IL Sierra Optima</t>
  </si>
  <si>
    <t>IL Advantra® Savings</t>
  </si>
  <si>
    <t>IL PersonalCare</t>
  </si>
  <si>
    <t>IL Mercy Health Plans, Inc.</t>
  </si>
  <si>
    <t>IL PersonalCare Advantra</t>
  </si>
  <si>
    <t>IL Essence Inc.</t>
  </si>
  <si>
    <t>IL UNIVERSAL HEALTH CARE INSURANCE COMPANY, INC.</t>
  </si>
  <si>
    <t>IL Fresenius Medical Care Health Plan</t>
  </si>
  <si>
    <t>IL PersonalCare Advantra Gold and Silver</t>
  </si>
  <si>
    <t>IL SecureHorizons</t>
  </si>
  <si>
    <t>IL UnitedHealthcare</t>
  </si>
  <si>
    <t>IL Care Improvement Plus</t>
  </si>
  <si>
    <t>IL OSF Care Advantage</t>
  </si>
  <si>
    <t>IL United HealthCare Insurance Company</t>
  </si>
  <si>
    <t>IL Medical Associates Health Plan, Inc.</t>
  </si>
  <si>
    <t>IN Sterling Life Insurance Company</t>
  </si>
  <si>
    <t>IN Today's Options Powered by CCRx</t>
  </si>
  <si>
    <t>IN Indiana University Health Plans - Medicare</t>
  </si>
  <si>
    <t>IN HealthMarkets Care Assured</t>
  </si>
  <si>
    <t>IN Mennonite Mutual Aid Association</t>
  </si>
  <si>
    <t>IN Sierra Optima</t>
  </si>
  <si>
    <t>IN Today's Options</t>
  </si>
  <si>
    <t>IN Advantra® Savings</t>
  </si>
  <si>
    <t>IN Arnett HMO</t>
  </si>
  <si>
    <t>IN Aetna Medicare</t>
  </si>
  <si>
    <t>IN UnitedHealthcare</t>
  </si>
  <si>
    <t>IN The M Plan, Senior Smart Choice</t>
  </si>
  <si>
    <t>IN Clarian Health Plans, Inc. - Senior Smart Choice</t>
  </si>
  <si>
    <t>IN Anthem Insurance Companies, Inc.</t>
  </si>
  <si>
    <t>IN Humana Health Plan, Inc</t>
  </si>
  <si>
    <t>IN Care Improvement Plus</t>
  </si>
  <si>
    <t>IN Advantra Savings</t>
  </si>
  <si>
    <t>IA Today's Options Powered by CCRx</t>
  </si>
  <si>
    <t>IA Mennonite Mutual Aid Association</t>
  </si>
  <si>
    <t>IA Wellmark Blue Cross and Blue Shield of Iowa</t>
  </si>
  <si>
    <t>IA Sterling Life Insurance Company</t>
  </si>
  <si>
    <t>IA Today's Options</t>
  </si>
  <si>
    <t>IA UniCare</t>
  </si>
  <si>
    <t>IA WellCare</t>
  </si>
  <si>
    <t>IA Medical Associates Health Plan, Inc.</t>
  </si>
  <si>
    <t>IA UnitedHealthcare</t>
  </si>
  <si>
    <t>IA Universal American Corp.</t>
  </si>
  <si>
    <t>IA Today's Option</t>
  </si>
  <si>
    <t>IA Gundersen Lutheran Health Plan, Inc.</t>
  </si>
  <si>
    <t>IA Sierra Optima</t>
  </si>
  <si>
    <t>IA SecureHorizons</t>
  </si>
  <si>
    <t>IA Advantra® Savings</t>
  </si>
  <si>
    <t>IA Care Improvement Plus</t>
  </si>
  <si>
    <t>KS Today's Options</t>
  </si>
  <si>
    <t>KS SecureHorizons MedicareDirect</t>
  </si>
  <si>
    <t>KS Universal American Corp.</t>
  </si>
  <si>
    <t>KS UniCare</t>
  </si>
  <si>
    <t>KS WellCare</t>
  </si>
  <si>
    <t>KS Sierra Optima</t>
  </si>
  <si>
    <t>KS Today's Options Powered by CCRx</t>
  </si>
  <si>
    <t>KS Unicare Life &amp; Health Ins. Company</t>
  </si>
  <si>
    <t>KS Today's Option</t>
  </si>
  <si>
    <t>KS UnitedHealthcare</t>
  </si>
  <si>
    <t>KS Mennonite Mutual Aid Association</t>
  </si>
  <si>
    <t>KS Advantra® Savings</t>
  </si>
  <si>
    <t>KS HealthMarkets Care Assured</t>
  </si>
  <si>
    <t>KS Advantra Savings</t>
  </si>
  <si>
    <t>KS Aetna Medicare</t>
  </si>
  <si>
    <t>KS AARP MedicareComplete from SecureHorizons</t>
  </si>
  <si>
    <t>KS SecureHorizons</t>
  </si>
  <si>
    <t>KY Today's Options</t>
  </si>
  <si>
    <t>KY Universal American</t>
  </si>
  <si>
    <t>KY Unicare Life &amp; Health Ins. Company</t>
  </si>
  <si>
    <t>KY Sterling Life Insurance Company</t>
  </si>
  <si>
    <t>KY Today's Option</t>
  </si>
  <si>
    <t>KY Today's Options Powered by CCRx</t>
  </si>
  <si>
    <t>KY Advantra® Savings</t>
  </si>
  <si>
    <t>KY SecureHorizons MedicareDirect</t>
  </si>
  <si>
    <t>KY WellCare</t>
  </si>
  <si>
    <t>KY Aetna Medicare</t>
  </si>
  <si>
    <t>KY Sierra Optima</t>
  </si>
  <si>
    <t>KY UnitedHealthcare</t>
  </si>
  <si>
    <t>KY Anthem Insurance Companies, Inc.</t>
  </si>
  <si>
    <t>KY Humana Health Plan, Inc</t>
  </si>
  <si>
    <t>KY Advantra Savings</t>
  </si>
  <si>
    <t>KY SecureHorizons</t>
  </si>
  <si>
    <t>LA Today's Options</t>
  </si>
  <si>
    <t>LA Universal American</t>
  </si>
  <si>
    <t>LA Advantra® Savings</t>
  </si>
  <si>
    <t>LA Unicare Life &amp; Health Ins. Company</t>
  </si>
  <si>
    <t>LA UnitedHealthcare</t>
  </si>
  <si>
    <t>LA Today's Options Powered by CCRx</t>
  </si>
  <si>
    <t>LA UniCare</t>
  </si>
  <si>
    <t>LA HealthMarkets Care Assured</t>
  </si>
  <si>
    <t>LA Today's Option</t>
  </si>
  <si>
    <t>LA Sierra Optima</t>
  </si>
  <si>
    <t>LA Aetna Medicare</t>
  </si>
  <si>
    <t>ME Universal American Corp.</t>
  </si>
  <si>
    <t>ME Today's Options</t>
  </si>
  <si>
    <t>ME HARVARD PILGRIM HEALTH CARE INC.</t>
  </si>
  <si>
    <t>ME Universal American</t>
  </si>
  <si>
    <t>ME Advantra® Freedom</t>
  </si>
  <si>
    <t>ME CIGNA Medicare Access</t>
  </si>
  <si>
    <t>ME SecureHorizons MedicareDirect</t>
  </si>
  <si>
    <t>ME Humana Insurance Company</t>
  </si>
  <si>
    <t>ME HealthMarkets Care Assured</t>
  </si>
  <si>
    <t>ME Advantra® Savings</t>
  </si>
  <si>
    <t>ME Sterling Life Insurance Company</t>
  </si>
  <si>
    <t>ME Anthem Blue Cross and Blue Shield</t>
  </si>
  <si>
    <t>ME Unicare Life &amp; Health Ins. Company</t>
  </si>
  <si>
    <t>ME SecureHorizons</t>
  </si>
  <si>
    <t>ME UnitedHealthcare</t>
  </si>
  <si>
    <t>MD Bravo  Health</t>
  </si>
  <si>
    <t>MD Today's Options Powered by CCRx</t>
  </si>
  <si>
    <t>MD WellCare</t>
  </si>
  <si>
    <t>MD Today's Option</t>
  </si>
  <si>
    <t>MD Today's Options</t>
  </si>
  <si>
    <t>MD UniCare</t>
  </si>
  <si>
    <t>MD Advantra® Savings</t>
  </si>
  <si>
    <t>MD Mennonite Mutual Aid Association</t>
  </si>
  <si>
    <t>MD SecureHorizons MedicareDirect</t>
  </si>
  <si>
    <t>MD Humana Insurance Company</t>
  </si>
  <si>
    <t>MA Universal American</t>
  </si>
  <si>
    <t>MA UniCare</t>
  </si>
  <si>
    <t>MA UnitedHealthcare</t>
  </si>
  <si>
    <t>MA Blue Cross Blue Shield of Massachusetts</t>
  </si>
  <si>
    <t>MA Aetna Medicare</t>
  </si>
  <si>
    <t>MA SecureHorizons by UnitedHealthcare</t>
  </si>
  <si>
    <t>MA Universal American Corp.</t>
  </si>
  <si>
    <t>MA Today's Options</t>
  </si>
  <si>
    <t>MA Health Net</t>
  </si>
  <si>
    <t>MA Humana Insurance Company</t>
  </si>
  <si>
    <t>MA Fresenius Medical Care Health Plan</t>
  </si>
  <si>
    <t>MA HealthMarkets Care Assured</t>
  </si>
  <si>
    <t>MA Advantra® Savings</t>
  </si>
  <si>
    <t>MA SecureHorizons MedicareDirect</t>
  </si>
  <si>
    <t>MA Health Net Pearl</t>
  </si>
  <si>
    <t>MI Today's Options</t>
  </si>
  <si>
    <t>MI UnitedHealthcare</t>
  </si>
  <si>
    <t>MI Mennonite Mutual Aid Association</t>
  </si>
  <si>
    <t>MI HealthMarkets Care Assured</t>
  </si>
  <si>
    <t>MI Sterling Life Insurance Company</t>
  </si>
  <si>
    <t>MI Universal American Corp.</t>
  </si>
  <si>
    <t>MI UniCare</t>
  </si>
  <si>
    <t>MI Advantra® Savings</t>
  </si>
  <si>
    <t>MI SecureHorizons</t>
  </si>
  <si>
    <t>MI Advantra Savings</t>
  </si>
  <si>
    <t>MN Blue Cross and Blue Shield of Minnesota</t>
  </si>
  <si>
    <t>MN Today's Options</t>
  </si>
  <si>
    <t>MN Blue Cross Blue Shield of Minnesota</t>
  </si>
  <si>
    <t>MN Sterling Life Insurance Company</t>
  </si>
  <si>
    <t>MN Today's Option</t>
  </si>
  <si>
    <t>MN Advantra® Savings</t>
  </si>
  <si>
    <t>MN SecureHorizons by UnitedHealthcare</t>
  </si>
  <si>
    <t>MN SecureHorizons MedicareDirect</t>
  </si>
  <si>
    <t>MN UniCare</t>
  </si>
  <si>
    <t>MN Metropolitan Health Plan</t>
  </si>
  <si>
    <t>MN Mennonite Mutual Aid Association</t>
  </si>
  <si>
    <t>MN HealthPartners Liberty Medicare</t>
  </si>
  <si>
    <t>MN North Star Advantage / North Star Advantage Plus</t>
  </si>
  <si>
    <t>MN Aetna Medicare</t>
  </si>
  <si>
    <t>MN Fresenius Medical Care Health Plan</t>
  </si>
  <si>
    <t>MS UniCare</t>
  </si>
  <si>
    <t>MS Sterling Life Insurance Company</t>
  </si>
  <si>
    <t>MS Today's Options</t>
  </si>
  <si>
    <t>MS Sierra Optima</t>
  </si>
  <si>
    <t>MS Unicare Life &amp; Health Ins. Company</t>
  </si>
  <si>
    <t>MS Today's Options Powered by CCRx</t>
  </si>
  <si>
    <t>MS Unison Advantage</t>
  </si>
  <si>
    <t>MS Aetna Medicare</t>
  </si>
  <si>
    <t>MS Advantra® Savings</t>
  </si>
  <si>
    <t>MS HealthSpring</t>
  </si>
  <si>
    <t>MS SecureHorizons by UnitedHealthcare</t>
  </si>
  <si>
    <t>MS UnitedHealthcare</t>
  </si>
  <si>
    <t>MO Care Improvement Plus</t>
  </si>
  <si>
    <t>MO Sierra Optima</t>
  </si>
  <si>
    <t>MO SecureHorizons</t>
  </si>
  <si>
    <t>MO Arcadian Health Plan</t>
  </si>
  <si>
    <t>MO Today's Options</t>
  </si>
  <si>
    <t>MO Today's Option</t>
  </si>
  <si>
    <t>MO Today's Options Powered by CCRx</t>
  </si>
  <si>
    <t>MO CIGNA Medicare Access</t>
  </si>
  <si>
    <t>MO Advantra® Savings</t>
  </si>
  <si>
    <t>MO Universal Health Care Insurance Company, Inc.</t>
  </si>
  <si>
    <t>MO Essence Inc.</t>
  </si>
  <si>
    <t>MO UniCare</t>
  </si>
  <si>
    <t>MO HealthMarkets Care Assured</t>
  </si>
  <si>
    <t>MO Advantra Savings</t>
  </si>
  <si>
    <t>MO Aetna Medicare</t>
  </si>
  <si>
    <t>MT Today's Options Powered by CCRx</t>
  </si>
  <si>
    <t>MT Universal American Corp.</t>
  </si>
  <si>
    <t>MT Blue Cross and Blue Shield of Montana</t>
  </si>
  <si>
    <t>MT Today's Options</t>
  </si>
  <si>
    <t>MT Mennonite Mutual Aid Association</t>
  </si>
  <si>
    <t>MT WellCare</t>
  </si>
  <si>
    <t>MT Unicare Life &amp; Health Ins. Company</t>
  </si>
  <si>
    <t>MT New West Medicare</t>
  </si>
  <si>
    <t>MT UniCare</t>
  </si>
  <si>
    <t>MT Advantra® Savings</t>
  </si>
  <si>
    <t>MT UnitedHealthcare</t>
  </si>
  <si>
    <t>MT Aetna Medicare</t>
  </si>
  <si>
    <t>MT Clear Choice Health Plans</t>
  </si>
  <si>
    <t>NE Mennonite Mutual Aid Association</t>
  </si>
  <si>
    <t>NE Today's Options</t>
  </si>
  <si>
    <t>NE Today's Options Powered by CCRx</t>
  </si>
  <si>
    <t>NE Sterling Life Insurance Company</t>
  </si>
  <si>
    <t>NE UniCare</t>
  </si>
  <si>
    <t>NE Blue Cross and Blue Shield of Nebraska</t>
  </si>
  <si>
    <t>NE WellCare</t>
  </si>
  <si>
    <t>NE Coventry Health Care</t>
  </si>
  <si>
    <t>NE Advantra® Savings</t>
  </si>
  <si>
    <t>NE Aetna Medicare</t>
  </si>
  <si>
    <t>NE Coventry Health Care of Nebraska, Inc.</t>
  </si>
  <si>
    <t>NE Humana Health Plan, Inc</t>
  </si>
  <si>
    <t>NV Universal American</t>
  </si>
  <si>
    <t>NV Sierra Health and Life Insurance Company, Inc.</t>
  </si>
  <si>
    <t>NV Today's Options</t>
  </si>
  <si>
    <t>NV Today's Options Powered by CCRx</t>
  </si>
  <si>
    <t>NV Unicare Life &amp; Health Ins. Company</t>
  </si>
  <si>
    <t>NV WellCare</t>
  </si>
  <si>
    <t>NV Universal American Corp.</t>
  </si>
  <si>
    <t>NV Sterling Life Insurance Company</t>
  </si>
  <si>
    <t>NV Sierra Nevada Spectrum</t>
  </si>
  <si>
    <t>NV Sierra Spectrum</t>
  </si>
  <si>
    <t>NV Senior Dimensions</t>
  </si>
  <si>
    <t>NV Sierra Optima</t>
  </si>
  <si>
    <t>NV HealthMarkets Care Assured</t>
  </si>
  <si>
    <t>NV Advantra® Savings</t>
  </si>
  <si>
    <t>NH Advantra® Freedom</t>
  </si>
  <si>
    <t>NH Today's Options</t>
  </si>
  <si>
    <t>NH UnitedHealthcare</t>
  </si>
  <si>
    <t>NH Unicare Life &amp; Health Ins. Company</t>
  </si>
  <si>
    <t>NH Sterling Life Insurance Company</t>
  </si>
  <si>
    <t>NH Today's Option</t>
  </si>
  <si>
    <t>NH Universal American Corp.</t>
  </si>
  <si>
    <t>NH Universal American</t>
  </si>
  <si>
    <t>NH Advantra Savings</t>
  </si>
  <si>
    <t>NH Spokane Community Care</t>
  </si>
  <si>
    <t>NH Arcadian Health Plan</t>
  </si>
  <si>
    <t>NH Anthem Blue Cross and Blue Shield</t>
  </si>
  <si>
    <t>NH Advantra® Savings</t>
  </si>
  <si>
    <t>NJ Horizon Blue Cross Blue Shield of New Jersey, Inc</t>
  </si>
  <si>
    <t>NJ UniCare</t>
  </si>
  <si>
    <t>NJ Sterling Life Insurance Company</t>
  </si>
  <si>
    <t>NJ Today's Options</t>
  </si>
  <si>
    <t>NJ Universal American</t>
  </si>
  <si>
    <t>NJ Advantra® Freedom</t>
  </si>
  <si>
    <t>NJ UnitedHealthcare</t>
  </si>
  <si>
    <t>NJ Today's Option</t>
  </si>
  <si>
    <t>NJ AARP MedicareComplete from SecureHorizons</t>
  </si>
  <si>
    <t>NJ Unicare Life &amp; Health Ins. Company</t>
  </si>
  <si>
    <t>NJ Unison Advantage</t>
  </si>
  <si>
    <t>NJ Advantra® Savings</t>
  </si>
  <si>
    <t>NJ SecureHorizons MedicareDirect</t>
  </si>
  <si>
    <t>NJ Advantra Savings</t>
  </si>
  <si>
    <t>NJ Humana Insurance Company</t>
  </si>
  <si>
    <t>NM CIGNA Medicare Access</t>
  </si>
  <si>
    <t>NM Unicare Life &amp; Health Ins. Company</t>
  </si>
  <si>
    <t>NM Sterling Life Insurance Company</t>
  </si>
  <si>
    <t>NM WellCare</t>
  </si>
  <si>
    <t>NM Presbyterian Senior Care</t>
  </si>
  <si>
    <t>NM Advantra® Savings</t>
  </si>
  <si>
    <t>NM Lovelace Insurance Company</t>
  </si>
  <si>
    <t>NM UnitedHealthcare</t>
  </si>
  <si>
    <t>NM Sierra Optima</t>
  </si>
  <si>
    <t>NM Health Net Pearl</t>
  </si>
  <si>
    <t>NM Advantra® Freedom</t>
  </si>
  <si>
    <t>NM Care Improvement Plus</t>
  </si>
  <si>
    <t>NM Health Net</t>
  </si>
  <si>
    <t>NM UniCare</t>
  </si>
  <si>
    <t>NM SecureHorizons</t>
  </si>
  <si>
    <t>NM AMERIGROUP Community Care</t>
  </si>
  <si>
    <t>NM Coventry Advantra</t>
  </si>
  <si>
    <t>NY Sterling Life Insurance Company</t>
  </si>
  <si>
    <t>NY QUALITY HEALTH PLANS</t>
  </si>
  <si>
    <t>NY ActiveSaver MSA or BlueSaver MSA</t>
  </si>
  <si>
    <t>NY ActiveSaver MSA and BlueSaver MSA</t>
  </si>
  <si>
    <t>NY Universal Health Care Insurance Company, Inc.</t>
  </si>
  <si>
    <t>NY Fidelis</t>
  </si>
  <si>
    <t>NY SecureHorizons MedicareDirect</t>
  </si>
  <si>
    <t>NY MVP Gold</t>
  </si>
  <si>
    <t>NY Health Net Pearl</t>
  </si>
  <si>
    <t>NY GHI Medicare Private Fee for Service</t>
  </si>
  <si>
    <t>NY CDPHP Medicare PPO</t>
  </si>
  <si>
    <t>NY MPower Health</t>
  </si>
  <si>
    <t>NY Forever Blue Medicare PPO</t>
  </si>
  <si>
    <t>NY Northeast Community Care</t>
  </si>
  <si>
    <t>NY Care Improvement Plus</t>
  </si>
  <si>
    <t>NY Health Net</t>
  </si>
  <si>
    <t>NY Traditional Blue Medicare PFFS</t>
  </si>
  <si>
    <t>NY HIP Medicare HMO</t>
  </si>
  <si>
    <t>NY UniCare</t>
  </si>
  <si>
    <t>NY Hip Insurance Company Of New York</t>
  </si>
  <si>
    <t>NY GHI Medicare PPO</t>
  </si>
  <si>
    <t>NY Fresenius Medical Care Health Plan</t>
  </si>
  <si>
    <t>NY VNS CHOICE Medicare</t>
  </si>
  <si>
    <t>NY EASY CHOICE HEALTH PLAN OF NEW YORK</t>
  </si>
  <si>
    <t>NY HealthPlus Elite</t>
  </si>
  <si>
    <t>NC HealthMarkets Care Assured</t>
  </si>
  <si>
    <t>NC Health Net Pearl</t>
  </si>
  <si>
    <t>NC Blue Medicare HMO</t>
  </si>
  <si>
    <t>NC Blue Medicare PPO</t>
  </si>
  <si>
    <t>NC PARTNERS Medicare Choice</t>
  </si>
  <si>
    <t>NC PARTNERS Medicare Options</t>
  </si>
  <si>
    <t>NC AMERICA'S 1ST CHOICE INSURANCE COMPANY OF NC, INC</t>
  </si>
  <si>
    <t>NC Health Net</t>
  </si>
  <si>
    <t>NC UniCare</t>
  </si>
  <si>
    <t>NC Advantra® Savings</t>
  </si>
  <si>
    <t>NC Advantra Savings</t>
  </si>
  <si>
    <t>ND Blue Cross Blue Shield of North Dakota</t>
  </si>
  <si>
    <t>ND Universal American</t>
  </si>
  <si>
    <t>ND Sterling Life Insurance Company</t>
  </si>
  <si>
    <t>ND Unicare Life &amp; Health Ins. Company</t>
  </si>
  <si>
    <t>ND Universal American Corp.</t>
  </si>
  <si>
    <t>ND SecureHorizons MedicareDirect</t>
  </si>
  <si>
    <t>ND WellCare</t>
  </si>
  <si>
    <t>ND Today's Options Powered by CCRx</t>
  </si>
  <si>
    <t>ND UnitedHealthcare</t>
  </si>
  <si>
    <t>ND UniCare</t>
  </si>
  <si>
    <t>ND Advantra® Savings</t>
  </si>
  <si>
    <t>ND Aetna Medicare</t>
  </si>
  <si>
    <t>OH CIGNA Medicare Access</t>
  </si>
  <si>
    <t>OH HealthMarkets Care Assured</t>
  </si>
  <si>
    <t>OH Today's Option</t>
  </si>
  <si>
    <t>OH Today's Options</t>
  </si>
  <si>
    <t>OH Health Plan SecureFreedom</t>
  </si>
  <si>
    <t>OH Sierra Optima</t>
  </si>
  <si>
    <t>OH Mennonite Mutual Aid Association</t>
  </si>
  <si>
    <t>OH Sterling Life Insurance Company</t>
  </si>
  <si>
    <t>OH Today's Options Powered by CCRx</t>
  </si>
  <si>
    <t>OH Health Plan SecureChoice</t>
  </si>
  <si>
    <t>OH Molina Healthcare of Ohio</t>
  </si>
  <si>
    <t>OH SummaCare</t>
  </si>
  <si>
    <t>OH UnitedHealthcare</t>
  </si>
  <si>
    <t>OH Advantra® Savings</t>
  </si>
  <si>
    <t>OH Universal American Corp.</t>
  </si>
  <si>
    <t>OH Universal Health Care Insurance Company, Inc.</t>
  </si>
  <si>
    <t>OH HealthAmerica</t>
  </si>
  <si>
    <t>OH Unison Advantage</t>
  </si>
  <si>
    <t>OH SecureHorizons</t>
  </si>
  <si>
    <t>OH Anthem Insurance Companies, Inc.</t>
  </si>
  <si>
    <t>OH Advantra Savings</t>
  </si>
  <si>
    <t>OH Advantra</t>
  </si>
  <si>
    <t>OH Advantra PPO</t>
  </si>
  <si>
    <t>OH Unicare Life &amp; Health Ins. Company</t>
  </si>
  <si>
    <t>OK Mennonite Mutual Aid Association</t>
  </si>
  <si>
    <t>OK Today's Options Powered by CCRx</t>
  </si>
  <si>
    <t>OK UniCare</t>
  </si>
  <si>
    <t>OK SecureHorizons MedicareDirect</t>
  </si>
  <si>
    <t>OK Blue Cross And Blue Shield Of Oklahoma</t>
  </si>
  <si>
    <t>OK Sierra Optima</t>
  </si>
  <si>
    <t>OK Today's Options</t>
  </si>
  <si>
    <t>OK Today's Option</t>
  </si>
  <si>
    <t>OK WellCare</t>
  </si>
  <si>
    <t>OK CommunityCare Senior Health Plan</t>
  </si>
  <si>
    <t>OK UNIVERSAL HEALTH CARE INSURANCE COMPANY, INC.</t>
  </si>
  <si>
    <t>OK MedicareBlue PPO</t>
  </si>
  <si>
    <t>OK Unicare Life &amp; Health Ins. Company</t>
  </si>
  <si>
    <t>OK HealthMarkets Care Assured</t>
  </si>
  <si>
    <t>OK Advantra® Savings</t>
  </si>
  <si>
    <t>OK Essence Healthcare</t>
  </si>
  <si>
    <t>OK UnitedHealthcare</t>
  </si>
  <si>
    <t>OK Aetna Medicare</t>
  </si>
  <si>
    <t>OK Lovelace Medicare Plan</t>
  </si>
  <si>
    <t>OR Today's Options</t>
  </si>
  <si>
    <t>OR Kaiser Permanente</t>
  </si>
  <si>
    <t>OR HealthMarkets Care Assured</t>
  </si>
  <si>
    <t>OR Sterling Life Insurance Company</t>
  </si>
  <si>
    <t>OR ODS Advantage</t>
  </si>
  <si>
    <t>OR Providence Health Plan</t>
  </si>
  <si>
    <t>OR Mennonite Mutual Aid Association</t>
  </si>
  <si>
    <t>OR UniCare</t>
  </si>
  <si>
    <t>OR Sierra Optima</t>
  </si>
  <si>
    <t>OR Today's Options Powered by CCRx</t>
  </si>
  <si>
    <t>OR Health Net</t>
  </si>
  <si>
    <t>OR Kaiser Permanente Senior Advantage</t>
  </si>
  <si>
    <t>OR Advantra® Savings</t>
  </si>
  <si>
    <t>OR Health Net Pearl</t>
  </si>
  <si>
    <t>OR UnitedHealthcare</t>
  </si>
  <si>
    <t>OR SecureHorizons</t>
  </si>
  <si>
    <t>OR Marion Polk Community Health Plan Advantage</t>
  </si>
  <si>
    <t>PA Unicare Life &amp; Health Ins. Company</t>
  </si>
  <si>
    <t>PA Today's Options Powered by CCRx</t>
  </si>
  <si>
    <t>PA Sterling Life Insurance Company</t>
  </si>
  <si>
    <t>PA UniCare</t>
  </si>
  <si>
    <t>PA SecureHorizons MedicareDirect</t>
  </si>
  <si>
    <t>PA WellCare</t>
  </si>
  <si>
    <t>PA MPower Health</t>
  </si>
  <si>
    <t>PA Sierra Optima</t>
  </si>
  <si>
    <t>PA Mennonite Mutual Aid Association</t>
  </si>
  <si>
    <t>PA Health Plan SecureFreedom</t>
  </si>
  <si>
    <t>PA HealthMarkets Care Assured</t>
  </si>
  <si>
    <t>PA Fresenius Medical Health Plan, Inc. - Pennsylvania</t>
  </si>
  <si>
    <t>PA Advantra® Savings</t>
  </si>
  <si>
    <t>PA Select Advantage</t>
  </si>
  <si>
    <t>PA UnitedHealthcare</t>
  </si>
  <si>
    <t>PA Advantra Savings</t>
  </si>
  <si>
    <t>RI Aetna Medicare</t>
  </si>
  <si>
    <t>RI SecureHorizons MedicareDirect</t>
  </si>
  <si>
    <t>RI SecureHorizons by UnitedHealthcare</t>
  </si>
  <si>
    <t>RI Humana Insurance Company</t>
  </si>
  <si>
    <t>RI Unicare Life &amp; Health Ins. Company</t>
  </si>
  <si>
    <t>RI UnitedHealthcare</t>
  </si>
  <si>
    <t>RI UniCare</t>
  </si>
  <si>
    <t>RI Advantra® Savings</t>
  </si>
  <si>
    <t>RI Universal American</t>
  </si>
  <si>
    <t>RI Fresenius Medical Care Health Plan</t>
  </si>
  <si>
    <t>SC America's 1st Choice Health Plans</t>
  </si>
  <si>
    <t>SC Care Improvement Plus</t>
  </si>
  <si>
    <t>SC HealthMarkets Care Assured</t>
  </si>
  <si>
    <t>SC Carolina Medicare Prime</t>
  </si>
  <si>
    <t>SC Sierra Optima</t>
  </si>
  <si>
    <t>SC Today's Options Powered by CCRx</t>
  </si>
  <si>
    <t>SC Today's Options</t>
  </si>
  <si>
    <t>SC UniCare</t>
  </si>
  <si>
    <t>SC Universal American Corp.</t>
  </si>
  <si>
    <t>SC BlueChoice HealthPlan</t>
  </si>
  <si>
    <t>SC Aetna Medicare</t>
  </si>
  <si>
    <t>SC UnitedHealthcare</t>
  </si>
  <si>
    <t>SC Advantra® Savings</t>
  </si>
  <si>
    <t>SC Humana Health Plan, Inc</t>
  </si>
  <si>
    <t>SC Advantra Savings</t>
  </si>
  <si>
    <t>SD Medica Insurance Company</t>
  </si>
  <si>
    <t>SD Unicare Life &amp; Health Ins. Company</t>
  </si>
  <si>
    <t>SD Wellmark Blue Cross Blue Shield of South Dakota</t>
  </si>
  <si>
    <t>SD Mennonite Mutual Aid Association</t>
  </si>
  <si>
    <t>SD Sterling Life Insurance Company</t>
  </si>
  <si>
    <t>SD WellCare</t>
  </si>
  <si>
    <t>SD Universal American</t>
  </si>
  <si>
    <t>SD UniCare</t>
  </si>
  <si>
    <t>SD SecureHorizons</t>
  </si>
  <si>
    <t>SD Today's Options</t>
  </si>
  <si>
    <t>SD Medica Health Plans</t>
  </si>
  <si>
    <t>SD Today's Options Powered by CCRx</t>
  </si>
  <si>
    <t>SD Coventry Health Care</t>
  </si>
  <si>
    <t>SD Advantra® Savings</t>
  </si>
  <si>
    <t>SD UnitedHealthcare</t>
  </si>
  <si>
    <t>SD Aetna Medicare</t>
  </si>
  <si>
    <t>TN CIGNA Medicare Access</t>
  </si>
  <si>
    <t>TN Sterling Life Insurance Company</t>
  </si>
  <si>
    <t>TN Today's Options</t>
  </si>
  <si>
    <t>TN Today's Options Powered by CCRx</t>
  </si>
  <si>
    <t>TN UniCare</t>
  </si>
  <si>
    <t>TN WellCare</t>
  </si>
  <si>
    <t>TN Today's Option</t>
  </si>
  <si>
    <t>TN Advantra® Savings</t>
  </si>
  <si>
    <t>TN Sierra Optima</t>
  </si>
  <si>
    <t>TN Cariten Senior Health (PPO)</t>
  </si>
  <si>
    <t>TN HealthMarkets Care Assured</t>
  </si>
  <si>
    <t>TN UnitedHealthcare</t>
  </si>
  <si>
    <t>TN Fresenius Medical Care Health Plan</t>
  </si>
  <si>
    <t>TN Aetna Medicare</t>
  </si>
  <si>
    <t>TN Universal American Corp.</t>
  </si>
  <si>
    <t>TX Today's Options Powered by CCRx</t>
  </si>
  <si>
    <t>TX Sierra Optima</t>
  </si>
  <si>
    <t>TX Today's Options</t>
  </si>
  <si>
    <t>TX Fresenius Medical Care Health Plan, Inc. - Texas</t>
  </si>
  <si>
    <t>TX Unicare Life &amp; Health Ins. Company</t>
  </si>
  <si>
    <t>TX UniCare</t>
  </si>
  <si>
    <t>TX Care N' Care Health Plan</t>
  </si>
  <si>
    <t>TX Advantra® Savings</t>
  </si>
  <si>
    <t>TX UnitedHealthcare</t>
  </si>
  <si>
    <t>TX HealthMarkets Care Assured</t>
  </si>
  <si>
    <t>TX Fresenius Medical Care Health Plan</t>
  </si>
  <si>
    <t>TX Coventry Advantra</t>
  </si>
  <si>
    <t>TX Advantra Savings</t>
  </si>
  <si>
    <t>TX HUMANA HEALTH PLAN OF TEXAS,INC.</t>
  </si>
  <si>
    <t>TX Care Improvement PPO</t>
  </si>
  <si>
    <t>TX SecureHorizons</t>
  </si>
  <si>
    <t>TX Evercare Of Texas, LLC</t>
  </si>
  <si>
    <t>TX Arcadian Health Plan</t>
  </si>
  <si>
    <t>TX UNITED HEALTHCARE INSURANCE COMPANY</t>
  </si>
  <si>
    <t>UT Sierra Optima</t>
  </si>
  <si>
    <t>UT WellCare</t>
  </si>
  <si>
    <t>UT SecureHorizons MedicareDirect</t>
  </si>
  <si>
    <t>UT Universal American</t>
  </si>
  <si>
    <t>UT SecureHorizons</t>
  </si>
  <si>
    <t>UT Today's Options</t>
  </si>
  <si>
    <t>UT UniCare</t>
  </si>
  <si>
    <t>UT UnitedHealthcare</t>
  </si>
  <si>
    <t>UT HealthMarkets Care Assured</t>
  </si>
  <si>
    <t>UT Today's Option</t>
  </si>
  <si>
    <t>UT Sierra Spectrum</t>
  </si>
  <si>
    <t>UT Advantra® Savings</t>
  </si>
  <si>
    <t>VT Advantra® Freedom</t>
  </si>
  <si>
    <t>VT Today's Options</t>
  </si>
  <si>
    <t>VT Humana Insurance Company</t>
  </si>
  <si>
    <t>VT Unicare Life &amp; Health Ins. Company</t>
  </si>
  <si>
    <t>VT UniCare</t>
  </si>
  <si>
    <t>VT Today's Option</t>
  </si>
  <si>
    <t>VT SecureHorizons MedicareDirect</t>
  </si>
  <si>
    <t>VT UnitedHealthcare</t>
  </si>
  <si>
    <t>VT Advantra® Savings</t>
  </si>
  <si>
    <t>VT Universal American</t>
  </si>
  <si>
    <t>VT Universal American Corp.</t>
  </si>
  <si>
    <t>VT Sterling Life Insurance Company</t>
  </si>
  <si>
    <t>VT AARP MedicareComplete from SecureHorizons</t>
  </si>
  <si>
    <t>VT Aetna Medicare</t>
  </si>
  <si>
    <t>VA Advantra® Savings</t>
  </si>
  <si>
    <t>VA UnitedHealthcare</t>
  </si>
  <si>
    <t>VA Unicare Life &amp; Health Ins. Company</t>
  </si>
  <si>
    <t>VA Health Net</t>
  </si>
  <si>
    <t>VA Mennonite Mutual Aid Association</t>
  </si>
  <si>
    <t>VA Sterling Life Insurance Company</t>
  </si>
  <si>
    <t>VA Today's Options</t>
  </si>
  <si>
    <t>VA Today's Option</t>
  </si>
  <si>
    <t>VA Piedmont Medicare Advantage</t>
  </si>
  <si>
    <t>VA Arcadian Health Plan</t>
  </si>
  <si>
    <t>VA Carilion Clinic Medicare Health Plan</t>
  </si>
  <si>
    <t>VA Sierra Optima</t>
  </si>
  <si>
    <t>VA Health Net Pearl</t>
  </si>
  <si>
    <t>VA HealthMarkets Care Assured</t>
  </si>
  <si>
    <t>VA Humana Health Plan, Inc</t>
  </si>
  <si>
    <t>VA UniCare</t>
  </si>
  <si>
    <t>VA AMERIGROUP Community Care</t>
  </si>
  <si>
    <t>WA Today's Options</t>
  </si>
  <si>
    <t>WA Mennonite Mutual Aid Association</t>
  </si>
  <si>
    <t>WA Soundpath Health</t>
  </si>
  <si>
    <t>WA Today's Options Powered by CCRx</t>
  </si>
  <si>
    <t>WA HealthMarkets Care Assured</t>
  </si>
  <si>
    <t>WA SecureHorizons</t>
  </si>
  <si>
    <t>WA Health Net</t>
  </si>
  <si>
    <t>WA UniCare</t>
  </si>
  <si>
    <t>WA Advantra® Savings</t>
  </si>
  <si>
    <t>WA Sierra Optima</t>
  </si>
  <si>
    <t>WA Kaiser Permanente</t>
  </si>
  <si>
    <t>WA Kaiser Permanente Senior Advantage</t>
  </si>
  <si>
    <t>WA Health Net Pearl</t>
  </si>
  <si>
    <t>WA Arcadian Health Plan</t>
  </si>
  <si>
    <t>WA Providence Health Plan</t>
  </si>
  <si>
    <t>WA Humana Health Plan, Inc.</t>
  </si>
  <si>
    <t>WA Sierra Health and Life Insurance Company, Inc.</t>
  </si>
  <si>
    <t>WA Universal American Corp.</t>
  </si>
  <si>
    <t>WV Universal American</t>
  </si>
  <si>
    <t>WV Unicare Life &amp; Health Ins. Company</t>
  </si>
  <si>
    <t>WV Today's Options Powered by CCRx</t>
  </si>
  <si>
    <t>WV Sierra Optima</t>
  </si>
  <si>
    <t>WV Health Plan SecureFreedom</t>
  </si>
  <si>
    <t>WV Today's Options</t>
  </si>
  <si>
    <t>WV UniCare</t>
  </si>
  <si>
    <t>WV Today's Option</t>
  </si>
  <si>
    <t>WV HealthSpring Life &amp; Health</t>
  </si>
  <si>
    <t>WV Sterling Life Insurance Company</t>
  </si>
  <si>
    <t>WV Advantra® Savings</t>
  </si>
  <si>
    <t>WV SecureHorizons MedicareDirect</t>
  </si>
  <si>
    <t>WV Health Plan SecureChoice</t>
  </si>
  <si>
    <t>WV SecureHorizons by UnitedHealthcare</t>
  </si>
  <si>
    <t>WI Network PlatinumPlus</t>
  </si>
  <si>
    <t>WI Today's Options</t>
  </si>
  <si>
    <t>WI Sterling Life Insurance Company</t>
  </si>
  <si>
    <t>WI Humana WisconsinHealth Organization Insurance Cor</t>
  </si>
  <si>
    <t>WI Medical Associates Clinic Health Plan of Wisconsi</t>
  </si>
  <si>
    <t>WI HealthMarkets Care Assured</t>
  </si>
  <si>
    <t>WI Today's Options Powered by CCRx</t>
  </si>
  <si>
    <t>WI WellCare</t>
  </si>
  <si>
    <t>WI Advocare</t>
  </si>
  <si>
    <t>WI Advantra® Savings</t>
  </si>
  <si>
    <t>WI Dean Health Plan, Inc.</t>
  </si>
  <si>
    <t>WI Security Health Plan Of Wisconsin, Inc</t>
  </si>
  <si>
    <t>WI Network Platinum Medicare Products</t>
  </si>
  <si>
    <t>WI Network Health Insurance Corporation PFFS Plan</t>
  </si>
  <si>
    <t>WI HealthPartners</t>
  </si>
  <si>
    <t>WI NHIC Medicare Products</t>
  </si>
  <si>
    <t>WI HealthPartners Liberty Medicare</t>
  </si>
  <si>
    <t>WI Medical Associates Clinic Health Plan of Wisconsin</t>
  </si>
  <si>
    <t>WI Today's Health</t>
  </si>
  <si>
    <t>WI Care Improvement Plus</t>
  </si>
  <si>
    <t>WI MercyCare Health Plans</t>
  </si>
  <si>
    <t>WY Rocky Mountain Health Plans</t>
  </si>
  <si>
    <t>WY Today's Options Powered by CCRx</t>
  </si>
  <si>
    <t>WY Sterling Life Insurance Company</t>
  </si>
  <si>
    <t>WY WellCare</t>
  </si>
  <si>
    <t>WY Unicare Life &amp; Health Ins. Company</t>
  </si>
  <si>
    <t>WY Blue Cross Blue Shield of Wyoming</t>
  </si>
  <si>
    <t>WY SecureHorizons MedicareDirect</t>
  </si>
  <si>
    <t>WY Advantra® Savings</t>
  </si>
  <si>
    <t>WY UniCare</t>
  </si>
  <si>
    <t>WY Advantra® Freedom</t>
  </si>
  <si>
    <t>WY UnitedHealthcare</t>
  </si>
  <si>
    <t>WY Altius Advantra</t>
  </si>
  <si>
    <t>WY Aetna Medicare</t>
  </si>
  <si>
    <t>Tab Landscape Data contains the organizationname and state pairs from the landscape files. The variable mlr_name is my manual assignment of the corresponding MLR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</si>
</sst>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4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2" x14ac:dyDescent="0.3">
      <c r="A1" s="1" t="s">
        <v>857</v>
      </c>
      <c r="B1" s="1" t="s">
        <v>858</v>
      </c>
    </row>
    <row r="3" spans="1:2" x14ac:dyDescent="0.3">
      <c r="A3" s="1" t="s">
        <v>1804</v>
      </c>
    </row>
    <row r="4" spans="1:2" x14ac:dyDescent="0.3">
      <c r="A4" s="1" t="s">
        <v>848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2"/>
  <sheetViews>
    <sheetView topLeftCell="B1" workbookViewId="0">
      <pane ySplit="1" topLeftCell="A2" activePane="bottomLeft" state="frozen"/>
      <selection pane="bottomLeft" activeCell="B1" sqref="B1"/>
    </sheetView>
  </sheetViews>
  <sheetFormatPr defaultRowHeight="14.4" outlineLevelCol="1" x14ac:dyDescent="0.3"/>
  <cols>
    <col min="1" max="1" width="53.33203125" hidden="1" customWidth="1" outlineLevel="1"/>
    <col min="2" max="2" width="7.5546875" bestFit="1" customWidth="1" collapsed="1"/>
    <col min="3" max="3" width="54.77734375" bestFit="1" customWidth="1"/>
    <col min="4" max="4" width="43.5546875" hidden="1" customWidth="1" outlineLevel="1"/>
    <col min="5" max="5" width="53" style="3" bestFit="1" customWidth="1" collapsed="1"/>
  </cols>
  <sheetData>
    <row r="1" spans="1:5" x14ac:dyDescent="0.3">
      <c r="A1" t="s">
        <v>852</v>
      </c>
      <c r="B1" s="2" t="s">
        <v>365</v>
      </c>
      <c r="C1" s="2" t="s">
        <v>366</v>
      </c>
      <c r="D1" s="2" t="s">
        <v>855</v>
      </c>
      <c r="E1" s="4" t="s">
        <v>856</v>
      </c>
    </row>
    <row r="2" spans="1:5" x14ac:dyDescent="0.3">
      <c r="A2" t="str">
        <f t="shared" ref="A2:A65" si="0">B2&amp;" "&amp;C2</f>
        <v>OR PacificSource Medicare</v>
      </c>
      <c r="B2" s="1" t="s">
        <v>728</v>
      </c>
      <c r="C2" s="1" t="s">
        <v>738</v>
      </c>
      <c r="D2" s="1" t="str">
        <f>IFERROR(VLOOKUP(A2,'MLR Data'!$A$2:$D$706,4,0),"")</f>
        <v/>
      </c>
      <c r="E2" s="5" t="s">
        <v>262</v>
      </c>
    </row>
    <row r="3" spans="1:5" x14ac:dyDescent="0.3">
      <c r="A3" t="str">
        <f t="shared" si="0"/>
        <v>VA Humana Insurance Company</v>
      </c>
      <c r="B3" s="1" t="s">
        <v>819</v>
      </c>
      <c r="C3" s="1" t="s">
        <v>372</v>
      </c>
      <c r="D3" s="1" t="str">
        <f>IFERROR(VLOOKUP(A3,'MLR Data'!$A$2:$D$706,4,0),"")</f>
        <v/>
      </c>
      <c r="E3" s="5" t="s">
        <v>15</v>
      </c>
    </row>
    <row r="4" spans="1:5" x14ac:dyDescent="0.3">
      <c r="A4" t="str">
        <f t="shared" si="0"/>
        <v>MI Blue Cross Blue Shield of Michigan</v>
      </c>
      <c r="B4" s="1" t="s">
        <v>592</v>
      </c>
      <c r="C4" s="1" t="s">
        <v>163</v>
      </c>
      <c r="D4" s="1" t="str">
        <f>IFERROR(VLOOKUP(A4,'MLR Data'!$A$2:$D$706,4,0),"")</f>
        <v>Blue Cross Blue Shield of Michigan</v>
      </c>
      <c r="E4" s="3" t="s">
        <v>163</v>
      </c>
    </row>
    <row r="5" spans="1:5" x14ac:dyDescent="0.3">
      <c r="A5" t="str">
        <f t="shared" si="0"/>
        <v>NC Humana Insurance Company</v>
      </c>
      <c r="B5" s="1" t="s">
        <v>629</v>
      </c>
      <c r="C5" s="1" t="s">
        <v>372</v>
      </c>
      <c r="D5" s="1" t="str">
        <f>IFERROR(VLOOKUP(A5,'MLR Data'!$A$2:$D$706,4,0),"")</f>
        <v/>
      </c>
      <c r="E5" s="5" t="s">
        <v>15</v>
      </c>
    </row>
    <row r="6" spans="1:5" x14ac:dyDescent="0.3">
      <c r="A6" t="str">
        <f t="shared" si="0"/>
        <v>WI Humana Insurance Company</v>
      </c>
      <c r="B6" s="1" t="s">
        <v>830</v>
      </c>
      <c r="C6" s="1" t="s">
        <v>372</v>
      </c>
      <c r="D6" s="1" t="str">
        <f>IFERROR(VLOOKUP(A6,'MLR Data'!$A$2:$D$706,4,0),"")</f>
        <v/>
      </c>
      <c r="E6" s="5" t="s">
        <v>15</v>
      </c>
    </row>
    <row r="7" spans="1:5" x14ac:dyDescent="0.3">
      <c r="A7" t="str">
        <f t="shared" si="0"/>
        <v>MN Humana Insurance Company</v>
      </c>
      <c r="B7" s="1" t="s">
        <v>608</v>
      </c>
      <c r="C7" s="1" t="s">
        <v>372</v>
      </c>
      <c r="D7" s="1" t="str">
        <f>IFERROR(VLOOKUP(A7,'MLR Data'!$A$2:$D$706,4,0),"")</f>
        <v/>
      </c>
      <c r="E7" s="5" t="s">
        <v>15</v>
      </c>
    </row>
    <row r="8" spans="1:5" x14ac:dyDescent="0.3">
      <c r="A8" t="str">
        <f t="shared" si="0"/>
        <v>OH Humana Insurance Company</v>
      </c>
      <c r="B8" s="1" t="s">
        <v>710</v>
      </c>
      <c r="C8" s="1" t="s">
        <v>372</v>
      </c>
      <c r="D8" s="1" t="str">
        <f>IFERROR(VLOOKUP(A8,'MLR Data'!$A$2:$D$706,4,0),"")</f>
        <v/>
      </c>
      <c r="E8" s="5" t="s">
        <v>15</v>
      </c>
    </row>
    <row r="9" spans="1:5" x14ac:dyDescent="0.3">
      <c r="A9" t="str">
        <f t="shared" si="0"/>
        <v>GA Humana Insurance Company</v>
      </c>
      <c r="B9" s="1" t="s">
        <v>523</v>
      </c>
      <c r="C9" s="1" t="s">
        <v>372</v>
      </c>
      <c r="D9" s="1" t="str">
        <f>IFERROR(VLOOKUP(A9,'MLR Data'!$A$2:$D$706,4,0),"")</f>
        <v/>
      </c>
      <c r="E9" s="5" t="s">
        <v>15</v>
      </c>
    </row>
    <row r="10" spans="1:5" x14ac:dyDescent="0.3">
      <c r="A10" t="str">
        <f t="shared" si="0"/>
        <v>MO Humana Insurance Company</v>
      </c>
      <c r="B10" s="1" t="s">
        <v>621</v>
      </c>
      <c r="C10" s="1" t="s">
        <v>372</v>
      </c>
      <c r="D10" s="1" t="str">
        <f>IFERROR(VLOOKUP(A10,'MLR Data'!$A$2:$D$706,4,0),"")</f>
        <v/>
      </c>
      <c r="E10" s="5" t="s">
        <v>15</v>
      </c>
    </row>
    <row r="11" spans="1:5" x14ac:dyDescent="0.3">
      <c r="A11" t="str">
        <f t="shared" si="0"/>
        <v>IA Humana Insurance Company</v>
      </c>
      <c r="B11" s="1" t="s">
        <v>536</v>
      </c>
      <c r="C11" s="1" t="s">
        <v>372</v>
      </c>
      <c r="D11" s="1" t="str">
        <f>IFERROR(VLOOKUP(A11,'MLR Data'!$A$2:$D$706,4,0),"")</f>
        <v/>
      </c>
      <c r="E11" s="5" t="s">
        <v>15</v>
      </c>
    </row>
    <row r="12" spans="1:5" x14ac:dyDescent="0.3">
      <c r="A12" t="str">
        <f t="shared" si="0"/>
        <v>IN Humana Insurance Company</v>
      </c>
      <c r="B12" s="1" t="s">
        <v>549</v>
      </c>
      <c r="C12" s="1" t="s">
        <v>372</v>
      </c>
      <c r="D12" s="1" t="str">
        <f>IFERROR(VLOOKUP(A12,'MLR Data'!$A$2:$D$706,4,0),"")</f>
        <v/>
      </c>
      <c r="E12" s="5" t="s">
        <v>15</v>
      </c>
    </row>
    <row r="13" spans="1:5" x14ac:dyDescent="0.3">
      <c r="A13" t="str">
        <f t="shared" si="0"/>
        <v>OH Anthem Blue Cross and Blue Shield</v>
      </c>
      <c r="B13" s="1" t="s">
        <v>710</v>
      </c>
      <c r="C13" s="1" t="s">
        <v>467</v>
      </c>
      <c r="D13" s="1" t="str">
        <f>IFERROR(VLOOKUP(A13,'MLR Data'!$A$2:$D$706,4,0),"")</f>
        <v/>
      </c>
      <c r="E13" s="5" t="s">
        <v>118</v>
      </c>
    </row>
    <row r="14" spans="1:5" x14ac:dyDescent="0.3">
      <c r="A14" t="str">
        <f t="shared" si="0"/>
        <v>FL WellCare</v>
      </c>
      <c r="B14" s="1" t="s">
        <v>482</v>
      </c>
      <c r="C14" s="1" t="s">
        <v>381</v>
      </c>
      <c r="D14" s="1" t="str">
        <f>IFERROR(VLOOKUP(A14,'MLR Data'!$A$2:$D$706,4,0),"")</f>
        <v/>
      </c>
      <c r="E14" s="3" t="s">
        <v>853</v>
      </c>
    </row>
    <row r="15" spans="1:5" x14ac:dyDescent="0.3">
      <c r="A15" t="str">
        <f t="shared" si="0"/>
        <v>PA Highmark Health Services</v>
      </c>
      <c r="B15" s="1" t="s">
        <v>744</v>
      </c>
      <c r="C15" s="1" t="s">
        <v>747</v>
      </c>
      <c r="D15" s="1" t="str">
        <f>IFERROR(VLOOKUP(A15,'MLR Data'!$A$2:$D$706,4,0),"")</f>
        <v/>
      </c>
      <c r="E15" s="5" t="s">
        <v>277</v>
      </c>
    </row>
    <row r="16" spans="1:5" x14ac:dyDescent="0.3">
      <c r="A16" t="str">
        <f t="shared" si="0"/>
        <v>AR Humana Insurance Company</v>
      </c>
      <c r="B16" s="1" t="s">
        <v>376</v>
      </c>
      <c r="C16" s="1" t="s">
        <v>372</v>
      </c>
      <c r="D16" s="1" t="str">
        <f>IFERROR(VLOOKUP(A16,'MLR Data'!$A$2:$D$706,4,0),"")</f>
        <v/>
      </c>
      <c r="E16" s="5" t="s">
        <v>15</v>
      </c>
    </row>
    <row r="17" spans="1:5" x14ac:dyDescent="0.3">
      <c r="A17" t="str">
        <f t="shared" si="0"/>
        <v>AL Blue Cross Blue Shield of Alabama</v>
      </c>
      <c r="B17" s="1" t="s">
        <v>367</v>
      </c>
      <c r="C17" s="1" t="s">
        <v>370</v>
      </c>
      <c r="D17" s="1" t="str">
        <f>IFERROR(VLOOKUP(A17,'MLR Data'!$A$2:$D$706,4,0),"")</f>
        <v/>
      </c>
      <c r="E17" s="5" t="s">
        <v>6</v>
      </c>
    </row>
    <row r="18" spans="1:5" x14ac:dyDescent="0.3">
      <c r="A18" t="str">
        <f t="shared" si="0"/>
        <v>WI Unicare Life &amp; Health Ins. Company</v>
      </c>
      <c r="B18" s="1" t="s">
        <v>830</v>
      </c>
      <c r="C18" s="1" t="s">
        <v>415</v>
      </c>
      <c r="D18" s="1" t="str">
        <f>IFERROR(VLOOKUP(A18,'MLR Data'!$A$2:$D$706,4,0),"")</f>
        <v/>
      </c>
      <c r="E18" s="5" t="s">
        <v>16</v>
      </c>
    </row>
    <row r="19" spans="1:5" x14ac:dyDescent="0.3">
      <c r="A19" t="str">
        <f t="shared" si="0"/>
        <v>FL Freedom Health, Inc.</v>
      </c>
      <c r="B19" s="1" t="s">
        <v>482</v>
      </c>
      <c r="C19" s="1" t="s">
        <v>495</v>
      </c>
      <c r="D19" s="1" t="str">
        <f>IFERROR(VLOOKUP(A19,'MLR Data'!$A$2:$D$706,4,0),"")</f>
        <v/>
      </c>
      <c r="E19" s="3" t="s">
        <v>853</v>
      </c>
    </row>
    <row r="20" spans="1:5" x14ac:dyDescent="0.3">
      <c r="A20" t="str">
        <f t="shared" si="0"/>
        <v>KY Humana Insurance Company</v>
      </c>
      <c r="B20" s="1" t="s">
        <v>559</v>
      </c>
      <c r="C20" s="1" t="s">
        <v>372</v>
      </c>
      <c r="D20" s="1" t="str">
        <f>IFERROR(VLOOKUP(A20,'MLR Data'!$A$2:$D$706,4,0),"")</f>
        <v/>
      </c>
      <c r="E20" s="5" t="s">
        <v>15</v>
      </c>
    </row>
    <row r="21" spans="1:5" x14ac:dyDescent="0.3">
      <c r="A21" t="str">
        <f t="shared" si="0"/>
        <v>TN BlueCross BlueShield of Tennessee</v>
      </c>
      <c r="B21" s="1" t="s">
        <v>784</v>
      </c>
      <c r="C21" s="1" t="s">
        <v>787</v>
      </c>
      <c r="D21" s="1" t="str">
        <f>IFERROR(VLOOKUP(A21,'MLR Data'!$A$2:$D$706,4,0),"")</f>
        <v/>
      </c>
      <c r="E21" s="5" t="s">
        <v>305</v>
      </c>
    </row>
    <row r="22" spans="1:5" x14ac:dyDescent="0.3">
      <c r="A22" t="str">
        <f t="shared" si="0"/>
        <v>TN Humana Insurance Company</v>
      </c>
      <c r="B22" s="1" t="s">
        <v>784</v>
      </c>
      <c r="C22" s="1" t="s">
        <v>372</v>
      </c>
      <c r="D22" s="1" t="str">
        <f>IFERROR(VLOOKUP(A22,'MLR Data'!$A$2:$D$706,4,0),"")</f>
        <v/>
      </c>
      <c r="E22" s="5" t="s">
        <v>15</v>
      </c>
    </row>
    <row r="23" spans="1:5" x14ac:dyDescent="0.3">
      <c r="A23" t="str">
        <f t="shared" si="0"/>
        <v>SC Humana Insurance Company</v>
      </c>
      <c r="B23" s="1" t="s">
        <v>775</v>
      </c>
      <c r="C23" s="1" t="s">
        <v>372</v>
      </c>
      <c r="D23" s="1" t="str">
        <f>IFERROR(VLOOKUP(A23,'MLR Data'!$A$2:$D$706,4,0),"")</f>
        <v/>
      </c>
      <c r="E23" s="5" t="s">
        <v>15</v>
      </c>
    </row>
    <row r="24" spans="1:5" x14ac:dyDescent="0.3">
      <c r="A24" t="str">
        <f t="shared" si="0"/>
        <v>TX Humana Insurance Company</v>
      </c>
      <c r="B24" s="1" t="s">
        <v>791</v>
      </c>
      <c r="C24" s="1" t="s">
        <v>372</v>
      </c>
      <c r="D24" s="1" t="str">
        <f>IFERROR(VLOOKUP(A24,'MLR Data'!$A$2:$D$706,4,0),"")</f>
        <v/>
      </c>
      <c r="E24" s="3" t="s">
        <v>310</v>
      </c>
    </row>
    <row r="25" spans="1:5" x14ac:dyDescent="0.3">
      <c r="A25" t="str">
        <f t="shared" si="0"/>
        <v>FL Universal Health Care, Inc.</v>
      </c>
      <c r="B25" s="1" t="s">
        <v>482</v>
      </c>
      <c r="C25" s="1" t="s">
        <v>487</v>
      </c>
      <c r="D25" s="1" t="str">
        <f>IFERROR(VLOOKUP(A25,'MLR Data'!$A$2:$D$706,4,0),"")</f>
        <v/>
      </c>
      <c r="E25" s="3" t="s">
        <v>853</v>
      </c>
    </row>
    <row r="26" spans="1:5" x14ac:dyDescent="0.3">
      <c r="A26" t="str">
        <f t="shared" si="0"/>
        <v>PA Humana Insurance Company</v>
      </c>
      <c r="B26" s="1" t="s">
        <v>744</v>
      </c>
      <c r="C26" s="1" t="s">
        <v>372</v>
      </c>
      <c r="D26" s="1" t="str">
        <f>IFERROR(VLOOKUP(A26,'MLR Data'!$A$2:$D$706,4,0),"")</f>
        <v/>
      </c>
      <c r="E26" s="5" t="s">
        <v>15</v>
      </c>
    </row>
    <row r="27" spans="1:5" x14ac:dyDescent="0.3">
      <c r="A27" t="str">
        <f t="shared" si="0"/>
        <v>MI Humana Insurance Company</v>
      </c>
      <c r="B27" s="1" t="s">
        <v>592</v>
      </c>
      <c r="C27" s="1" t="s">
        <v>372</v>
      </c>
      <c r="D27" s="1" t="str">
        <f>IFERROR(VLOOKUP(A27,'MLR Data'!$A$2:$D$706,4,0),"")</f>
        <v/>
      </c>
      <c r="E27" s="5" t="s">
        <v>15</v>
      </c>
    </row>
    <row r="28" spans="1:5" x14ac:dyDescent="0.3">
      <c r="A28" t="str">
        <f t="shared" si="0"/>
        <v>PA HealthAmerica Advantra</v>
      </c>
      <c r="B28" s="1" t="s">
        <v>744</v>
      </c>
      <c r="C28" s="1" t="s">
        <v>714</v>
      </c>
      <c r="D28" s="1" t="str">
        <f>IFERROR(VLOOKUP(A28,'MLR Data'!$A$2:$D$706,4,0),"")</f>
        <v/>
      </c>
      <c r="E28" s="5" t="s">
        <v>275</v>
      </c>
    </row>
    <row r="29" spans="1:5" x14ac:dyDescent="0.3">
      <c r="A29" t="str">
        <f t="shared" si="0"/>
        <v>NJ Horizon Blue Cross Blue Shield of New Jersey, Inc.</v>
      </c>
      <c r="B29" s="1" t="s">
        <v>641</v>
      </c>
      <c r="C29" s="1" t="s">
        <v>642</v>
      </c>
      <c r="D29" s="1" t="str">
        <f>IFERROR(VLOOKUP(A29,'MLR Data'!$A$2:$D$706,4,0),"")</f>
        <v/>
      </c>
      <c r="E29" s="5" t="s">
        <v>208</v>
      </c>
    </row>
    <row r="30" spans="1:5" x14ac:dyDescent="0.3">
      <c r="A30" t="str">
        <f t="shared" si="0"/>
        <v>MN Medica Health Plans</v>
      </c>
      <c r="B30" s="1" t="s">
        <v>608</v>
      </c>
      <c r="C30" s="1" t="s">
        <v>182</v>
      </c>
      <c r="D30" s="1" t="str">
        <f>IFERROR(VLOOKUP(A30,'MLR Data'!$A$2:$D$706,4,0),"")</f>
        <v>Medica Health Plans</v>
      </c>
      <c r="E30" s="3" t="s">
        <v>182</v>
      </c>
    </row>
    <row r="31" spans="1:5" x14ac:dyDescent="0.3">
      <c r="A31" t="str">
        <f t="shared" si="0"/>
        <v>NC SecureHorizons by UnitedHealthcare</v>
      </c>
      <c r="B31" s="1" t="s">
        <v>629</v>
      </c>
      <c r="C31" s="1" t="s">
        <v>368</v>
      </c>
      <c r="D31" s="1" t="str">
        <f>IFERROR(VLOOKUP(A31,'MLR Data'!$A$2:$D$706,4,0),"")</f>
        <v/>
      </c>
      <c r="E31" s="5" t="s">
        <v>20</v>
      </c>
    </row>
    <row r="32" spans="1:5" x14ac:dyDescent="0.3">
      <c r="A32" t="str">
        <f t="shared" si="0"/>
        <v>MN UCare</v>
      </c>
      <c r="B32" s="1" t="s">
        <v>608</v>
      </c>
      <c r="C32" s="1" t="s">
        <v>610</v>
      </c>
      <c r="D32" s="1" t="str">
        <f>IFERROR(VLOOKUP(A32,'MLR Data'!$A$2:$D$706,4,0),"")</f>
        <v/>
      </c>
      <c r="E32" s="3" t="s">
        <v>853</v>
      </c>
    </row>
    <row r="33" spans="1:5" x14ac:dyDescent="0.3">
      <c r="A33" t="str">
        <f t="shared" si="0"/>
        <v>PA UPMC Health Plan</v>
      </c>
      <c r="B33" s="1" t="s">
        <v>744</v>
      </c>
      <c r="C33" s="1" t="s">
        <v>751</v>
      </c>
      <c r="D33" s="1" t="str">
        <f>IFERROR(VLOOKUP(A33,'MLR Data'!$A$2:$D$706,4,0),"")</f>
        <v/>
      </c>
      <c r="E33" s="5" t="s">
        <v>286</v>
      </c>
    </row>
    <row r="34" spans="1:5" x14ac:dyDescent="0.3">
      <c r="A34" t="str">
        <f t="shared" si="0"/>
        <v>IL Humana Insurance Company</v>
      </c>
      <c r="B34" s="1" t="s">
        <v>543</v>
      </c>
      <c r="C34" s="1" t="s">
        <v>372</v>
      </c>
      <c r="D34" s="1" t="str">
        <f>IFERROR(VLOOKUP(A34,'MLR Data'!$A$2:$D$706,4,0),"")</f>
        <v/>
      </c>
      <c r="E34" s="5" t="s">
        <v>15</v>
      </c>
    </row>
    <row r="35" spans="1:5" x14ac:dyDescent="0.3">
      <c r="A35" t="str">
        <f t="shared" si="0"/>
        <v>MS Humana Insurance Company</v>
      </c>
      <c r="B35" s="1" t="s">
        <v>626</v>
      </c>
      <c r="C35" s="1" t="s">
        <v>372</v>
      </c>
      <c r="D35" s="1" t="str">
        <f>IFERROR(VLOOKUP(A35,'MLR Data'!$A$2:$D$706,4,0),"")</f>
        <v/>
      </c>
      <c r="E35" s="5" t="s">
        <v>15</v>
      </c>
    </row>
    <row r="36" spans="1:5" x14ac:dyDescent="0.3">
      <c r="A36" t="str">
        <f t="shared" si="0"/>
        <v>NJ Aetna Medicare</v>
      </c>
      <c r="B36" s="1" t="s">
        <v>641</v>
      </c>
      <c r="C36" s="1" t="s">
        <v>407</v>
      </c>
      <c r="D36" s="1" t="str">
        <f>IFERROR(VLOOKUP(A36,'MLR Data'!$A$2:$D$706,4,0),"")</f>
        <v/>
      </c>
      <c r="E36" s="5" t="s">
        <v>203</v>
      </c>
    </row>
    <row r="37" spans="1:5" x14ac:dyDescent="0.3">
      <c r="A37" t="str">
        <f t="shared" si="0"/>
        <v>TN Cariten Health Plan, Inc.</v>
      </c>
      <c r="B37" s="1" t="s">
        <v>784</v>
      </c>
      <c r="C37" s="1" t="s">
        <v>786</v>
      </c>
      <c r="D37" s="1" t="str">
        <f>IFERROR(VLOOKUP(A37,'MLR Data'!$A$2:$D$706,4,0),"")</f>
        <v/>
      </c>
      <c r="E37" s="3" t="s">
        <v>853</v>
      </c>
    </row>
    <row r="38" spans="1:5" x14ac:dyDescent="0.3">
      <c r="A38" t="str">
        <f t="shared" si="0"/>
        <v>MN Medica Insurance Company</v>
      </c>
      <c r="B38" s="1" t="s">
        <v>608</v>
      </c>
      <c r="C38" s="1" t="s">
        <v>184</v>
      </c>
      <c r="D38" s="1" t="str">
        <f>IFERROR(VLOOKUP(A38,'MLR Data'!$A$2:$D$706,4,0),"")</f>
        <v>Medica Insurance Company</v>
      </c>
      <c r="E38" s="3" t="s">
        <v>184</v>
      </c>
    </row>
    <row r="39" spans="1:5" x14ac:dyDescent="0.3">
      <c r="A39" t="str">
        <f t="shared" si="0"/>
        <v>OK Humana Insurance Company</v>
      </c>
      <c r="B39" s="1" t="s">
        <v>722</v>
      </c>
      <c r="C39" s="1" t="s">
        <v>372</v>
      </c>
      <c r="D39" s="1" t="str">
        <f>IFERROR(VLOOKUP(A39,'MLR Data'!$A$2:$D$706,4,0),"")</f>
        <v/>
      </c>
      <c r="E39" s="5" t="s">
        <v>15</v>
      </c>
    </row>
    <row r="40" spans="1:5" x14ac:dyDescent="0.3">
      <c r="A40" t="str">
        <f t="shared" si="0"/>
        <v>CO Humana Insurance Company</v>
      </c>
      <c r="B40" s="1" t="s">
        <v>464</v>
      </c>
      <c r="C40" s="1" t="s">
        <v>372</v>
      </c>
      <c r="D40" s="1" t="str">
        <f>IFERROR(VLOOKUP(A40,'MLR Data'!$A$2:$D$706,4,0),"")</f>
        <v/>
      </c>
      <c r="E40" s="3" t="s">
        <v>13</v>
      </c>
    </row>
    <row r="41" spans="1:5" x14ac:dyDescent="0.3">
      <c r="A41" t="str">
        <f t="shared" si="0"/>
        <v>MO SecureHorizons by UnitedHealthcare</v>
      </c>
      <c r="B41" s="1" t="s">
        <v>621</v>
      </c>
      <c r="C41" s="1" t="s">
        <v>368</v>
      </c>
      <c r="D41" s="1" t="str">
        <f>IFERROR(VLOOKUP(A41,'MLR Data'!$A$2:$D$706,4,0),"")</f>
        <v/>
      </c>
      <c r="E41" s="5" t="s">
        <v>20</v>
      </c>
    </row>
    <row r="42" spans="1:5" x14ac:dyDescent="0.3">
      <c r="A42" t="str">
        <f t="shared" si="0"/>
        <v>NC PARTNERS National Health Plans, a BCBSNC company</v>
      </c>
      <c r="B42" s="1" t="s">
        <v>629</v>
      </c>
      <c r="C42" s="1" t="s">
        <v>631</v>
      </c>
      <c r="D42" s="1" t="str">
        <f>IFERROR(VLOOKUP(A42,'MLR Data'!$A$2:$D$706,4,0),"")</f>
        <v/>
      </c>
      <c r="E42" s="5" t="s">
        <v>238</v>
      </c>
    </row>
    <row r="43" spans="1:5" x14ac:dyDescent="0.3">
      <c r="A43" t="str">
        <f t="shared" si="0"/>
        <v>MN UCare Minnesota</v>
      </c>
      <c r="B43" s="1" t="s">
        <v>608</v>
      </c>
      <c r="C43" s="1" t="s">
        <v>611</v>
      </c>
      <c r="D43" s="1" t="str">
        <f>IFERROR(VLOOKUP(A43,'MLR Data'!$A$2:$D$706,4,0),"")</f>
        <v/>
      </c>
      <c r="E43" s="3" t="s">
        <v>853</v>
      </c>
    </row>
    <row r="44" spans="1:5" x14ac:dyDescent="0.3">
      <c r="A44" t="str">
        <f t="shared" si="0"/>
        <v>MT Humana Insurance Company</v>
      </c>
      <c r="B44" s="1" t="s">
        <v>628</v>
      </c>
      <c r="C44" s="1" t="s">
        <v>372</v>
      </c>
      <c r="D44" s="1" t="str">
        <f>IFERROR(VLOOKUP(A44,'MLR Data'!$A$2:$D$706,4,0),"")</f>
        <v/>
      </c>
      <c r="E44" s="5" t="s">
        <v>15</v>
      </c>
    </row>
    <row r="45" spans="1:5" x14ac:dyDescent="0.3">
      <c r="A45" t="str">
        <f t="shared" si="0"/>
        <v>PA Keystone Health Plan West, Inc.</v>
      </c>
      <c r="B45" s="1" t="s">
        <v>744</v>
      </c>
      <c r="C45" s="1" t="s">
        <v>281</v>
      </c>
      <c r="D45" s="1" t="str">
        <f>IFERROR(VLOOKUP(A45,'MLR Data'!$A$2:$D$706,4,0),"")</f>
        <v>Keystone Health Plan West, Inc.</v>
      </c>
      <c r="E45" s="3" t="s">
        <v>281</v>
      </c>
    </row>
    <row r="46" spans="1:5" x14ac:dyDescent="0.3">
      <c r="A46" t="str">
        <f t="shared" si="0"/>
        <v>IA SecureHorizons by UnitedHealthcare</v>
      </c>
      <c r="B46" s="1" t="s">
        <v>536</v>
      </c>
      <c r="C46" s="1" t="s">
        <v>368</v>
      </c>
      <c r="D46" s="1" t="str">
        <f>IFERROR(VLOOKUP(A46,'MLR Data'!$A$2:$D$706,4,0),"")</f>
        <v/>
      </c>
      <c r="E46" s="5" t="s">
        <v>20</v>
      </c>
    </row>
    <row r="47" spans="1:5" x14ac:dyDescent="0.3">
      <c r="A47" t="str">
        <f t="shared" si="0"/>
        <v>NY Excellus Health Plan, Inc.</v>
      </c>
      <c r="B47" s="1" t="s">
        <v>665</v>
      </c>
      <c r="C47" s="1" t="s">
        <v>677</v>
      </c>
      <c r="D47" s="1" t="str">
        <f>IFERROR(VLOOKUP(A47,'MLR Data'!$A$2:$D$706,4,0),"")</f>
        <v/>
      </c>
      <c r="E47" s="5" t="s">
        <v>223</v>
      </c>
    </row>
    <row r="48" spans="1:5" x14ac:dyDescent="0.3">
      <c r="A48" t="str">
        <f t="shared" si="0"/>
        <v>GA SecureHorizons by UnitedHealthcare</v>
      </c>
      <c r="B48" s="1" t="s">
        <v>523</v>
      </c>
      <c r="C48" s="1" t="s">
        <v>368</v>
      </c>
      <c r="D48" s="1" t="str">
        <f>IFERROR(VLOOKUP(A48,'MLR Data'!$A$2:$D$706,4,0),"")</f>
        <v/>
      </c>
      <c r="E48" s="5" t="s">
        <v>20</v>
      </c>
    </row>
    <row r="49" spans="1:5" x14ac:dyDescent="0.3">
      <c r="A49" t="str">
        <f t="shared" si="0"/>
        <v>AL Humana Insurance Company</v>
      </c>
      <c r="B49" s="1" t="s">
        <v>367</v>
      </c>
      <c r="C49" s="1" t="s">
        <v>372</v>
      </c>
      <c r="D49" s="1" t="str">
        <f>IFERROR(VLOOKUP(A49,'MLR Data'!$A$2:$D$706,4,0),"")</f>
        <v/>
      </c>
      <c r="E49" s="5" t="s">
        <v>15</v>
      </c>
    </row>
    <row r="50" spans="1:5" x14ac:dyDescent="0.3">
      <c r="A50" t="str">
        <f t="shared" si="0"/>
        <v>UT Humana Insurance Company</v>
      </c>
      <c r="B50" s="1" t="s">
        <v>813</v>
      </c>
      <c r="C50" s="1" t="s">
        <v>372</v>
      </c>
      <c r="D50" s="1" t="str">
        <f>IFERROR(VLOOKUP(A50,'MLR Data'!$A$2:$D$706,4,0),"")</f>
        <v/>
      </c>
      <c r="E50" s="5" t="s">
        <v>15</v>
      </c>
    </row>
    <row r="51" spans="1:5" x14ac:dyDescent="0.3">
      <c r="A51" t="str">
        <f t="shared" si="0"/>
        <v>AL Blue Cross and Blue Shield of Alabama</v>
      </c>
      <c r="B51" s="1" t="s">
        <v>367</v>
      </c>
      <c r="C51" s="1" t="s">
        <v>6</v>
      </c>
      <c r="D51" s="1" t="str">
        <f>IFERROR(VLOOKUP(A51,'MLR Data'!$A$2:$D$706,4,0),"")</f>
        <v>Blue Cross and Blue Shield of Alabama</v>
      </c>
      <c r="E51" s="5" t="s">
        <v>6</v>
      </c>
    </row>
    <row r="52" spans="1:5" x14ac:dyDescent="0.3">
      <c r="A52" t="str">
        <f t="shared" si="0"/>
        <v>ID Humana Insurance Company</v>
      </c>
      <c r="B52" s="1" t="s">
        <v>539</v>
      </c>
      <c r="C52" s="1" t="s">
        <v>372</v>
      </c>
      <c r="D52" s="1" t="str">
        <f>IFERROR(VLOOKUP(A52,'MLR Data'!$A$2:$D$706,4,0),"")</f>
        <v/>
      </c>
      <c r="E52" s="5" t="s">
        <v>15</v>
      </c>
    </row>
    <row r="53" spans="1:5" x14ac:dyDescent="0.3">
      <c r="A53" t="str">
        <f t="shared" si="0"/>
        <v>WV Humana Insurance Company</v>
      </c>
      <c r="B53" s="1" t="s">
        <v>839</v>
      </c>
      <c r="C53" s="1" t="s">
        <v>372</v>
      </c>
      <c r="D53" s="1" t="str">
        <f>IFERROR(VLOOKUP(A53,'MLR Data'!$A$2:$D$706,4,0),"")</f>
        <v/>
      </c>
      <c r="E53" s="5" t="s">
        <v>15</v>
      </c>
    </row>
    <row r="54" spans="1:5" x14ac:dyDescent="0.3">
      <c r="A54" t="str">
        <f t="shared" si="0"/>
        <v>FL Humana Medical Plan, Inc.</v>
      </c>
      <c r="B54" s="1" t="s">
        <v>482</v>
      </c>
      <c r="C54" s="1" t="s">
        <v>86</v>
      </c>
      <c r="D54" s="1" t="str">
        <f>IFERROR(VLOOKUP(A54,'MLR Data'!$A$2:$D$706,4,0),"")</f>
        <v>Humana Medical Plan, Inc.</v>
      </c>
      <c r="E54" s="3" t="s">
        <v>86</v>
      </c>
    </row>
    <row r="55" spans="1:5" x14ac:dyDescent="0.3">
      <c r="A55" t="str">
        <f t="shared" si="0"/>
        <v>NY WellCare</v>
      </c>
      <c r="B55" s="1" t="s">
        <v>665</v>
      </c>
      <c r="C55" s="1" t="s">
        <v>381</v>
      </c>
      <c r="D55" s="1" t="str">
        <f>IFERROR(VLOOKUP(A55,'MLR Data'!$A$2:$D$706,4,0),"")</f>
        <v/>
      </c>
      <c r="E55" s="3" t="s">
        <v>853</v>
      </c>
    </row>
    <row r="56" spans="1:5" x14ac:dyDescent="0.3">
      <c r="A56" t="str">
        <f t="shared" si="0"/>
        <v>TN Cigna-HealthSpring</v>
      </c>
      <c r="B56" s="1" t="s">
        <v>784</v>
      </c>
      <c r="C56" s="1" t="s">
        <v>373</v>
      </c>
      <c r="D56" s="1" t="str">
        <f>IFERROR(VLOOKUP(A56,'MLR Data'!$A$2:$D$706,4,0),"")</f>
        <v/>
      </c>
      <c r="E56" s="5" t="s">
        <v>9</v>
      </c>
    </row>
    <row r="57" spans="1:5" x14ac:dyDescent="0.3">
      <c r="A57" t="str">
        <f t="shared" si="0"/>
        <v>WI SecureHorizons by UnitedHealthcare</v>
      </c>
      <c r="B57" s="1" t="s">
        <v>830</v>
      </c>
      <c r="C57" s="1" t="s">
        <v>368</v>
      </c>
      <c r="D57" s="1" t="str">
        <f>IFERROR(VLOOKUP(A57,'MLR Data'!$A$2:$D$706,4,0),"")</f>
        <v/>
      </c>
      <c r="E57" s="5" t="s">
        <v>20</v>
      </c>
    </row>
    <row r="58" spans="1:5" x14ac:dyDescent="0.3">
      <c r="A58" t="str">
        <f t="shared" si="0"/>
        <v>NM Humana Insurance Company</v>
      </c>
      <c r="B58" s="1" t="s">
        <v>649</v>
      </c>
      <c r="C58" s="1" t="s">
        <v>372</v>
      </c>
      <c r="D58" s="1" t="str">
        <f>IFERROR(VLOOKUP(A58,'MLR Data'!$A$2:$D$706,4,0),"")</f>
        <v/>
      </c>
      <c r="E58" s="5" t="s">
        <v>15</v>
      </c>
    </row>
    <row r="59" spans="1:5" x14ac:dyDescent="0.3">
      <c r="A59" t="str">
        <f t="shared" si="0"/>
        <v>CA Kaiser Permanente Senior Advantage</v>
      </c>
      <c r="B59" s="1" t="s">
        <v>418</v>
      </c>
      <c r="C59" s="1" t="s">
        <v>424</v>
      </c>
      <c r="D59" s="1" t="str">
        <f>IFERROR(VLOOKUP(A59,'MLR Data'!$A$2:$D$706,4,0),"")</f>
        <v/>
      </c>
      <c r="E59" s="5" t="s">
        <v>48</v>
      </c>
    </row>
    <row r="60" spans="1:5" x14ac:dyDescent="0.3">
      <c r="A60" t="str">
        <f t="shared" si="0"/>
        <v>MI Priority Health Medicare</v>
      </c>
      <c r="B60" s="1" t="s">
        <v>592</v>
      </c>
      <c r="C60" s="1" t="s">
        <v>593</v>
      </c>
      <c r="D60" s="1" t="str">
        <f>IFERROR(VLOOKUP(A60,'MLR Data'!$A$2:$D$706,4,0),"")</f>
        <v/>
      </c>
      <c r="E60" s="5" t="s">
        <v>173</v>
      </c>
    </row>
    <row r="61" spans="1:5" x14ac:dyDescent="0.3">
      <c r="A61" t="str">
        <f t="shared" si="0"/>
        <v>PA Geisinger Health Plan Gold</v>
      </c>
      <c r="B61" s="1" t="s">
        <v>744</v>
      </c>
      <c r="C61" s="1" t="s">
        <v>756</v>
      </c>
      <c r="D61" s="1" t="str">
        <f>IFERROR(VLOOKUP(A61,'MLR Data'!$A$2:$D$706,4,0),"")</f>
        <v/>
      </c>
      <c r="E61" s="5" t="s">
        <v>270</v>
      </c>
    </row>
    <row r="62" spans="1:5" x14ac:dyDescent="0.3">
      <c r="A62" t="str">
        <f t="shared" si="0"/>
        <v>AL VIVA Medicare Plus</v>
      </c>
      <c r="B62" s="1" t="s">
        <v>367</v>
      </c>
      <c r="C62" s="1" t="s">
        <v>369</v>
      </c>
      <c r="D62" s="1" t="str">
        <f>IFERROR(VLOOKUP(A62,'MLR Data'!$A$2:$D$706,4,0),"")</f>
        <v/>
      </c>
      <c r="E62" s="5" t="s">
        <v>23</v>
      </c>
    </row>
    <row r="63" spans="1:5" x14ac:dyDescent="0.3">
      <c r="A63" t="str">
        <f t="shared" si="0"/>
        <v>AL Healthspring of Alabama, Inc.</v>
      </c>
      <c r="B63" s="1" t="s">
        <v>367</v>
      </c>
      <c r="C63" s="1" t="s">
        <v>371</v>
      </c>
      <c r="D63" s="1" t="str">
        <f>IFERROR(VLOOKUP(A63,'MLR Data'!$A$2:$D$706,4,0),"")</f>
        <v>HealthSpring of Alabama, Inc.</v>
      </c>
      <c r="E63" s="5" t="s">
        <v>11</v>
      </c>
    </row>
    <row r="64" spans="1:5" x14ac:dyDescent="0.3">
      <c r="A64" t="str">
        <f t="shared" si="0"/>
        <v>MN Blue Plus</v>
      </c>
      <c r="B64" s="1" t="s">
        <v>608</v>
      </c>
      <c r="C64" s="1" t="s">
        <v>609</v>
      </c>
      <c r="D64" s="1" t="str">
        <f>IFERROR(VLOOKUP(A64,'MLR Data'!$A$2:$D$706,4,0),"")</f>
        <v/>
      </c>
      <c r="E64" s="5" t="s">
        <v>177</v>
      </c>
    </row>
    <row r="65" spans="1:5" x14ac:dyDescent="0.3">
      <c r="A65" t="str">
        <f t="shared" si="0"/>
        <v>NY Empire BlueCross BlueShield</v>
      </c>
      <c r="B65" s="1" t="s">
        <v>665</v>
      </c>
      <c r="C65" s="1" t="s">
        <v>674</v>
      </c>
      <c r="D65" s="1" t="str">
        <f>IFERROR(VLOOKUP(A65,'MLR Data'!$A$2:$D$706,4,0),"")</f>
        <v/>
      </c>
      <c r="E65" s="5" t="s">
        <v>221</v>
      </c>
    </row>
    <row r="66" spans="1:5" x14ac:dyDescent="0.3">
      <c r="A66" t="str">
        <f t="shared" ref="A66:A129" si="1">B66&amp;" "&amp;C66</f>
        <v>NY SecureHorizons by UnitedHealthcare</v>
      </c>
      <c r="B66" s="1" t="s">
        <v>665</v>
      </c>
      <c r="C66" s="1" t="s">
        <v>368</v>
      </c>
      <c r="D66" s="1" t="str">
        <f>IFERROR(VLOOKUP(A66,'MLR Data'!$A$2:$D$706,4,0),"")</f>
        <v/>
      </c>
      <c r="E66" s="5" t="s">
        <v>236</v>
      </c>
    </row>
    <row r="67" spans="1:5" x14ac:dyDescent="0.3">
      <c r="A67" t="str">
        <f t="shared" si="1"/>
        <v>OH SecureHorizons by UnitedHealthcare</v>
      </c>
      <c r="B67" s="1" t="s">
        <v>710</v>
      </c>
      <c r="C67" s="1" t="s">
        <v>368</v>
      </c>
      <c r="D67" s="1" t="str">
        <f>IFERROR(VLOOKUP(A67,'MLR Data'!$A$2:$D$706,4,0),"")</f>
        <v/>
      </c>
      <c r="E67" s="5" t="s">
        <v>20</v>
      </c>
    </row>
    <row r="68" spans="1:5" x14ac:dyDescent="0.3">
      <c r="A68" t="str">
        <f t="shared" si="1"/>
        <v>TX SecureHorizons by UnitedHealthcare</v>
      </c>
      <c r="B68" s="1" t="s">
        <v>791</v>
      </c>
      <c r="C68" s="1" t="s">
        <v>368</v>
      </c>
      <c r="D68" s="1" t="str">
        <f>IFERROR(VLOOKUP(A68,'MLR Data'!$A$2:$D$706,4,0),"")</f>
        <v/>
      </c>
      <c r="E68" s="5" t="s">
        <v>20</v>
      </c>
    </row>
    <row r="69" spans="1:5" x14ac:dyDescent="0.3">
      <c r="A69" t="str">
        <f t="shared" si="1"/>
        <v>CA Humana Insurance Company</v>
      </c>
      <c r="B69" s="1" t="s">
        <v>418</v>
      </c>
      <c r="C69" s="1" t="s">
        <v>372</v>
      </c>
      <c r="D69" s="1" t="str">
        <f>IFERROR(VLOOKUP(A69,'MLR Data'!$A$2:$D$706,4,0),"")</f>
        <v/>
      </c>
      <c r="E69" s="5" t="s">
        <v>15</v>
      </c>
    </row>
    <row r="70" spans="1:5" x14ac:dyDescent="0.3">
      <c r="A70" t="str">
        <f t="shared" si="1"/>
        <v>KS Humana Insurance Company</v>
      </c>
      <c r="B70" s="1" t="s">
        <v>555</v>
      </c>
      <c r="C70" s="1" t="s">
        <v>372</v>
      </c>
      <c r="D70" s="1" t="str">
        <f>IFERROR(VLOOKUP(A70,'MLR Data'!$A$2:$D$706,4,0),"")</f>
        <v/>
      </c>
      <c r="E70" s="5" t="s">
        <v>15</v>
      </c>
    </row>
    <row r="71" spans="1:5" x14ac:dyDescent="0.3">
      <c r="A71" t="str">
        <f t="shared" si="1"/>
        <v>VA CIGNA Medicare Access</v>
      </c>
      <c r="B71" s="1" t="s">
        <v>819</v>
      </c>
      <c r="C71" s="1" t="s">
        <v>429</v>
      </c>
      <c r="D71" s="1" t="str">
        <f>IFERROR(VLOOKUP(A71,'MLR Data'!$A$2:$D$706,4,0),"")</f>
        <v/>
      </c>
      <c r="E71" s="5" t="s">
        <v>9</v>
      </c>
    </row>
    <row r="72" spans="1:5" x14ac:dyDescent="0.3">
      <c r="A72" t="str">
        <f t="shared" si="1"/>
        <v>TN UnitedHealthcare Plan of the River Valley, Inc.</v>
      </c>
      <c r="B72" s="1" t="s">
        <v>784</v>
      </c>
      <c r="C72" s="1" t="s">
        <v>114</v>
      </c>
      <c r="D72" s="1" t="str">
        <f>IFERROR(VLOOKUP(A72,'MLR Data'!$A$2:$D$706,4,0),"")</f>
        <v>UnitedHealthcare Plan of the River Valley, Inc.</v>
      </c>
      <c r="E72" s="3" t="s">
        <v>114</v>
      </c>
    </row>
    <row r="73" spans="1:5" x14ac:dyDescent="0.3">
      <c r="A73" t="str">
        <f t="shared" si="1"/>
        <v>VA SecureHorizons by UnitedHealthcare</v>
      </c>
      <c r="B73" s="1" t="s">
        <v>819</v>
      </c>
      <c r="C73" s="1" t="s">
        <v>368</v>
      </c>
      <c r="D73" s="1" t="str">
        <f>IFERROR(VLOOKUP(A73,'MLR Data'!$A$2:$D$706,4,0),"")</f>
        <v/>
      </c>
      <c r="E73" s="5" t="s">
        <v>20</v>
      </c>
    </row>
    <row r="74" spans="1:5" x14ac:dyDescent="0.3">
      <c r="A74" t="str">
        <f t="shared" si="1"/>
        <v>WI Security Health Plan of Wisconsin, Inc.</v>
      </c>
      <c r="B74" s="1" t="s">
        <v>830</v>
      </c>
      <c r="C74" s="1" t="s">
        <v>359</v>
      </c>
      <c r="D74" s="1" t="str">
        <f>IFERROR(VLOOKUP(A74,'MLR Data'!$A$2:$D$706,4,0),"")</f>
        <v>Security Health Plan of Wisconsin, Inc.</v>
      </c>
      <c r="E74" s="3" t="s">
        <v>359</v>
      </c>
    </row>
    <row r="75" spans="1:5" x14ac:dyDescent="0.3">
      <c r="A75" t="str">
        <f t="shared" si="1"/>
        <v>GA UNIVERSAL HEALTH CARE INSURANCE COMPANY, INC.</v>
      </c>
      <c r="B75" s="1" t="s">
        <v>523</v>
      </c>
      <c r="C75" s="1" t="s">
        <v>394</v>
      </c>
      <c r="D75" s="1" t="str">
        <f>IFERROR(VLOOKUP(A75,'MLR Data'!$A$2:$D$706,4,0),"")</f>
        <v/>
      </c>
      <c r="E75" s="3" t="s">
        <v>853</v>
      </c>
    </row>
    <row r="76" spans="1:5" x14ac:dyDescent="0.3">
      <c r="A76" t="str">
        <f t="shared" si="1"/>
        <v>GA Universal Health Care Insurance Company, Inc.</v>
      </c>
      <c r="B76" s="1" t="s">
        <v>523</v>
      </c>
      <c r="C76" s="1" t="s">
        <v>405</v>
      </c>
      <c r="D76" s="1" t="str">
        <f>IFERROR(VLOOKUP(A76,'MLR Data'!$A$2:$D$706,4,0),"")</f>
        <v/>
      </c>
      <c r="E76" s="3" t="s">
        <v>853</v>
      </c>
    </row>
    <row r="77" spans="1:5" x14ac:dyDescent="0.3">
      <c r="A77" t="str">
        <f t="shared" si="1"/>
        <v>MA Tufts Health Plan</v>
      </c>
      <c r="B77" s="1" t="s">
        <v>569</v>
      </c>
      <c r="C77" s="1" t="s">
        <v>68</v>
      </c>
      <c r="D77" s="1" t="str">
        <f>IFERROR(VLOOKUP(A77,'MLR Data'!$A$2:$D$706,4,0),"")</f>
        <v/>
      </c>
      <c r="E77" s="5" t="s">
        <v>67</v>
      </c>
    </row>
    <row r="78" spans="1:5" x14ac:dyDescent="0.3">
      <c r="A78" t="str">
        <f t="shared" si="1"/>
        <v>PA Aetna Medicare</v>
      </c>
      <c r="B78" s="1" t="s">
        <v>744</v>
      </c>
      <c r="C78" s="1" t="s">
        <v>407</v>
      </c>
      <c r="D78" s="1" t="str">
        <f>IFERROR(VLOOKUP(A78,'MLR Data'!$A$2:$D$706,4,0),"")</f>
        <v/>
      </c>
      <c r="E78" s="5" t="s">
        <v>26</v>
      </c>
    </row>
    <row r="79" spans="1:5" x14ac:dyDescent="0.3">
      <c r="A79" t="str">
        <f t="shared" si="1"/>
        <v>WA Sterling Life Insurance Company</v>
      </c>
      <c r="B79" s="1" t="s">
        <v>824</v>
      </c>
      <c r="C79" s="1" t="s">
        <v>391</v>
      </c>
      <c r="D79" s="1" t="str">
        <f>IFERROR(VLOOKUP(A79,'MLR Data'!$A$2:$D$706,4,0),"")</f>
        <v/>
      </c>
      <c r="E79" s="3" t="s">
        <v>853</v>
      </c>
    </row>
    <row r="80" spans="1:5" x14ac:dyDescent="0.3">
      <c r="A80" t="str">
        <f t="shared" si="1"/>
        <v>MI Blue Care Network</v>
      </c>
      <c r="B80" s="1" t="s">
        <v>592</v>
      </c>
      <c r="C80" s="1" t="s">
        <v>161</v>
      </c>
      <c r="D80" s="1" t="str">
        <f>IFERROR(VLOOKUP(A80,'MLR Data'!$A$2:$D$706,4,0),"")</f>
        <v>Blue Care Network</v>
      </c>
      <c r="E80" s="3" t="s">
        <v>161</v>
      </c>
    </row>
    <row r="81" spans="1:5" x14ac:dyDescent="0.3">
      <c r="A81" t="str">
        <f t="shared" si="1"/>
        <v>PA Geisinger Gold</v>
      </c>
      <c r="B81" s="1" t="s">
        <v>744</v>
      </c>
      <c r="C81" s="1" t="s">
        <v>748</v>
      </c>
      <c r="D81" s="1" t="str">
        <f>IFERROR(VLOOKUP(A81,'MLR Data'!$A$2:$D$706,4,0),"")</f>
        <v/>
      </c>
      <c r="E81" s="3" t="s">
        <v>853</v>
      </c>
    </row>
    <row r="82" spans="1:5" x14ac:dyDescent="0.3">
      <c r="A82" t="str">
        <f t="shared" si="1"/>
        <v>ID Blue Cross Of Idaho Hlth Services Inc</v>
      </c>
      <c r="B82" s="1" t="s">
        <v>539</v>
      </c>
      <c r="C82" s="1" t="s">
        <v>540</v>
      </c>
      <c r="D82" s="1" t="str">
        <f>IFERROR(VLOOKUP(A82,'MLR Data'!$A$2:$D$706,4,0),"")</f>
        <v/>
      </c>
      <c r="E82" s="5" t="s">
        <v>103</v>
      </c>
    </row>
    <row r="83" spans="1:5" x14ac:dyDescent="0.3">
      <c r="A83" t="str">
        <f t="shared" si="1"/>
        <v>NY BlueCross BlueShield of WNY and BlueShield of NENY</v>
      </c>
      <c r="B83" s="1" t="s">
        <v>665</v>
      </c>
      <c r="C83" s="1" t="s">
        <v>671</v>
      </c>
      <c r="D83" s="1" t="str">
        <f>IFERROR(VLOOKUP(A83,'MLR Data'!$A$2:$D$706,4,0),"")</f>
        <v/>
      </c>
      <c r="E83" s="3" t="s">
        <v>853</v>
      </c>
    </row>
    <row r="84" spans="1:5" x14ac:dyDescent="0.3">
      <c r="A84" t="str">
        <f t="shared" si="1"/>
        <v>CA Health Net of California</v>
      </c>
      <c r="B84" s="1" t="s">
        <v>418</v>
      </c>
      <c r="C84" s="1" t="s">
        <v>425</v>
      </c>
      <c r="D84" s="1" t="str">
        <f>IFERROR(VLOOKUP(A84,'MLR Data'!$A$2:$D$706,4,0),"")</f>
        <v/>
      </c>
      <c r="E84" s="5" t="s">
        <v>47</v>
      </c>
    </row>
    <row r="85" spans="1:5" x14ac:dyDescent="0.3">
      <c r="A85" t="str">
        <f t="shared" si="1"/>
        <v>CA SecureHorizons by UnitedHealthcare</v>
      </c>
      <c r="B85" s="1" t="s">
        <v>418</v>
      </c>
      <c r="C85" s="1" t="s">
        <v>368</v>
      </c>
      <c r="D85" s="1" t="str">
        <f>IFERROR(VLOOKUP(A85,'MLR Data'!$A$2:$D$706,4,0),"")</f>
        <v/>
      </c>
      <c r="E85" s="5" t="s">
        <v>20</v>
      </c>
    </row>
    <row r="86" spans="1:5" x14ac:dyDescent="0.3">
      <c r="A86" t="str">
        <f t="shared" si="1"/>
        <v>IN SecureHorizons by UnitedHealthcare</v>
      </c>
      <c r="B86" s="1" t="s">
        <v>549</v>
      </c>
      <c r="C86" s="1" t="s">
        <v>368</v>
      </c>
      <c r="D86" s="1" t="str">
        <f>IFERROR(VLOOKUP(A86,'MLR Data'!$A$2:$D$706,4,0),"")</f>
        <v/>
      </c>
      <c r="E86" s="5" t="s">
        <v>20</v>
      </c>
    </row>
    <row r="87" spans="1:5" x14ac:dyDescent="0.3">
      <c r="A87" t="str">
        <f t="shared" si="1"/>
        <v>TN AmeriChoice Secure Plus Complete</v>
      </c>
      <c r="B87" s="1" t="s">
        <v>784</v>
      </c>
      <c r="C87" s="1" t="s">
        <v>785</v>
      </c>
      <c r="D87" s="1" t="str">
        <f>IFERROR(VLOOKUP(A87,'MLR Data'!$A$2:$D$706,4,0),"")</f>
        <v/>
      </c>
      <c r="E87" s="3" t="s">
        <v>853</v>
      </c>
    </row>
    <row r="88" spans="1:5" x14ac:dyDescent="0.3">
      <c r="A88" t="str">
        <f t="shared" si="1"/>
        <v>WI Network Platinum Medicare Advantage Plans</v>
      </c>
      <c r="B88" s="1" t="s">
        <v>830</v>
      </c>
      <c r="C88" s="1" t="s">
        <v>832</v>
      </c>
      <c r="D88" s="1" t="str">
        <f>IFERROR(VLOOKUP(A88,'MLR Data'!$A$2:$D$706,4,0),"")</f>
        <v/>
      </c>
      <c r="E88" s="5" t="s">
        <v>356</v>
      </c>
    </row>
    <row r="89" spans="1:5" x14ac:dyDescent="0.3">
      <c r="A89" t="str">
        <f t="shared" si="1"/>
        <v>CT Health Net of Connecticut</v>
      </c>
      <c r="B89" s="1" t="s">
        <v>474</v>
      </c>
      <c r="C89" s="1" t="s">
        <v>475</v>
      </c>
      <c r="E89" s="5" t="s">
        <v>28</v>
      </c>
    </row>
    <row r="90" spans="1:5" x14ac:dyDescent="0.3">
      <c r="A90" t="str">
        <f t="shared" si="1"/>
        <v>CA Aetna Medicare</v>
      </c>
      <c r="B90" s="1" t="s">
        <v>418</v>
      </c>
      <c r="C90" s="1" t="s">
        <v>407</v>
      </c>
      <c r="D90" s="1" t="str">
        <f>IFERROR(VLOOKUP(A90,'MLR Data'!$A$2:$D$706,4,0),"")</f>
        <v/>
      </c>
      <c r="E90" s="5" t="s">
        <v>39</v>
      </c>
    </row>
    <row r="91" spans="1:5" x14ac:dyDescent="0.3">
      <c r="A91" t="str">
        <f t="shared" si="1"/>
        <v>MD Aetna Medicare</v>
      </c>
      <c r="B91" s="1" t="s">
        <v>586</v>
      </c>
      <c r="C91" s="1" t="s">
        <v>407</v>
      </c>
      <c r="D91" s="1" t="str">
        <f>IFERROR(VLOOKUP(A91,'MLR Data'!$A$2:$D$706,4,0),"")</f>
        <v/>
      </c>
      <c r="E91" s="5" t="s">
        <v>26</v>
      </c>
    </row>
    <row r="92" spans="1:5" x14ac:dyDescent="0.3">
      <c r="A92" t="str">
        <f t="shared" si="1"/>
        <v>TX Scott and White Health Plan SeniorCare</v>
      </c>
      <c r="B92" s="1" t="s">
        <v>791</v>
      </c>
      <c r="C92" s="1" t="s">
        <v>794</v>
      </c>
      <c r="D92" s="1" t="str">
        <f>IFERROR(VLOOKUP(A92,'MLR Data'!$A$2:$D$706,4,0),"")</f>
        <v/>
      </c>
      <c r="E92" s="5" t="s">
        <v>313</v>
      </c>
    </row>
    <row r="93" spans="1:5" x14ac:dyDescent="0.3">
      <c r="A93" t="str">
        <f t="shared" si="1"/>
        <v>WA Group Health Cooperative</v>
      </c>
      <c r="B93" s="1" t="s">
        <v>824</v>
      </c>
      <c r="C93" s="1" t="s">
        <v>335</v>
      </c>
      <c r="D93" s="1" t="str">
        <f>IFERROR(VLOOKUP(A93,'MLR Data'!$A$2:$D$706,4,0),"")</f>
        <v>Group Health Cooperative</v>
      </c>
      <c r="E93" s="3" t="s">
        <v>335</v>
      </c>
    </row>
    <row r="94" spans="1:5" x14ac:dyDescent="0.3">
      <c r="A94" t="str">
        <f t="shared" si="1"/>
        <v>CO Rocky Mountain Health Plans</v>
      </c>
      <c r="B94" s="1" t="s">
        <v>464</v>
      </c>
      <c r="C94" s="1" t="s">
        <v>469</v>
      </c>
      <c r="D94" s="1" t="str">
        <f>IFERROR(VLOOKUP(A94,'MLR Data'!$A$2:$D$706,4,0),"")</f>
        <v/>
      </c>
      <c r="E94" s="5" t="s">
        <v>57</v>
      </c>
    </row>
    <row r="95" spans="1:5" x14ac:dyDescent="0.3">
      <c r="A95" t="str">
        <f t="shared" si="1"/>
        <v>SC Blue Cross Blue Shield of South Carolina</v>
      </c>
      <c r="B95" s="1" t="s">
        <v>775</v>
      </c>
      <c r="C95" s="1" t="s">
        <v>776</v>
      </c>
      <c r="D95" s="1" t="str">
        <f>IFERROR(VLOOKUP(A95,'MLR Data'!$A$2:$D$706,4,0),"")</f>
        <v/>
      </c>
      <c r="E95" s="5" t="s">
        <v>300</v>
      </c>
    </row>
    <row r="96" spans="1:5" x14ac:dyDescent="0.3">
      <c r="A96" t="str">
        <f t="shared" si="1"/>
        <v>WI SecureHorizons MedicareDirect</v>
      </c>
      <c r="B96" s="1" t="s">
        <v>830</v>
      </c>
      <c r="C96" s="1" t="s">
        <v>390</v>
      </c>
      <c r="D96" s="1" t="str">
        <f>IFERROR(VLOOKUP(A96,'MLR Data'!$A$2:$D$706,4,0),"")</f>
        <v/>
      </c>
      <c r="E96" s="5" t="s">
        <v>20</v>
      </c>
    </row>
    <row r="97" spans="1:5" x14ac:dyDescent="0.3">
      <c r="A97" t="str">
        <f t="shared" si="1"/>
        <v>FL Quality Health Plans</v>
      </c>
      <c r="B97" s="1" t="s">
        <v>482</v>
      </c>
      <c r="C97" s="1" t="s">
        <v>493</v>
      </c>
      <c r="D97" s="1" t="str">
        <f>IFERROR(VLOOKUP(A97,'MLR Data'!$A$2:$D$706,4,0),"")</f>
        <v/>
      </c>
      <c r="E97" s="3" t="s">
        <v>853</v>
      </c>
    </row>
    <row r="98" spans="1:5" x14ac:dyDescent="0.3">
      <c r="A98" t="str">
        <f t="shared" si="1"/>
        <v>FL CarePlus Health Plans, Inc.</v>
      </c>
      <c r="B98" s="1" t="s">
        <v>482</v>
      </c>
      <c r="C98" s="1" t="s">
        <v>494</v>
      </c>
      <c r="D98" s="1" t="str">
        <f>IFERROR(VLOOKUP(A98,'MLR Data'!$A$2:$D$706,4,0),"")</f>
        <v/>
      </c>
      <c r="E98" s="3" t="s">
        <v>853</v>
      </c>
    </row>
    <row r="99" spans="1:5" x14ac:dyDescent="0.3">
      <c r="A99" t="str">
        <f t="shared" si="1"/>
        <v>NC CIGNA Medicare Access</v>
      </c>
      <c r="B99" s="1" t="s">
        <v>629</v>
      </c>
      <c r="C99" s="1" t="s">
        <v>429</v>
      </c>
      <c r="D99" s="1" t="str">
        <f>IFERROR(VLOOKUP(A99,'MLR Data'!$A$2:$D$706,4,0),"")</f>
        <v/>
      </c>
      <c r="E99" s="5" t="s">
        <v>9</v>
      </c>
    </row>
    <row r="100" spans="1:5" x14ac:dyDescent="0.3">
      <c r="A100" t="str">
        <f t="shared" si="1"/>
        <v>AZ Humana Insurance Company</v>
      </c>
      <c r="B100" s="1" t="s">
        <v>388</v>
      </c>
      <c r="C100" s="1" t="s">
        <v>372</v>
      </c>
      <c r="D100" s="1" t="str">
        <f>IFERROR(VLOOKUP(A100,'MLR Data'!$A$2:$D$706,4,0),"")</f>
        <v/>
      </c>
      <c r="E100" s="5" t="s">
        <v>13</v>
      </c>
    </row>
    <row r="101" spans="1:5" x14ac:dyDescent="0.3">
      <c r="A101" t="str">
        <f t="shared" si="1"/>
        <v>CA Secure Horizons Medicare Advantage Plan</v>
      </c>
      <c r="B101" s="1" t="s">
        <v>418</v>
      </c>
      <c r="C101" s="1" t="s">
        <v>414</v>
      </c>
      <c r="D101" s="1" t="str">
        <f>IFERROR(VLOOKUP(A101,'MLR Data'!$A$2:$D$706,4,0),"")</f>
        <v/>
      </c>
      <c r="E101" s="3" t="s">
        <v>20</v>
      </c>
    </row>
    <row r="102" spans="1:5" x14ac:dyDescent="0.3">
      <c r="A102" t="str">
        <f t="shared" si="1"/>
        <v>TX Texas HealthSpring</v>
      </c>
      <c r="B102" s="1" t="s">
        <v>791</v>
      </c>
      <c r="C102" s="1" t="s">
        <v>792</v>
      </c>
      <c r="D102" s="1" t="str">
        <f>IFERROR(VLOOKUP(A102,'MLR Data'!$A$2:$D$706,4,0),"")</f>
        <v/>
      </c>
      <c r="E102" s="3" t="s">
        <v>853</v>
      </c>
    </row>
    <row r="103" spans="1:5" x14ac:dyDescent="0.3">
      <c r="A103" t="str">
        <f t="shared" si="1"/>
        <v>CT ConnectiCare, Inc.</v>
      </c>
      <c r="B103" s="1" t="s">
        <v>474</v>
      </c>
      <c r="C103" s="1" t="s">
        <v>476</v>
      </c>
      <c r="D103" s="1" t="str">
        <f>IFERROR(VLOOKUP(A103,'MLR Data'!$A$2:$D$706,4,0),"")</f>
        <v/>
      </c>
      <c r="E103" s="5" t="s">
        <v>62</v>
      </c>
    </row>
    <row r="104" spans="1:5" x14ac:dyDescent="0.3">
      <c r="A104" t="str">
        <f t="shared" si="1"/>
        <v>AL SecureHorizons by UnitedHealthcare</v>
      </c>
      <c r="B104" s="1" t="s">
        <v>367</v>
      </c>
      <c r="C104" s="1" t="s">
        <v>368</v>
      </c>
      <c r="D104" s="1" t="str">
        <f>IFERROR(VLOOKUP(A104,'MLR Data'!$A$2:$D$706,4,0),"")</f>
        <v/>
      </c>
      <c r="E104" s="5" t="s">
        <v>20</v>
      </c>
    </row>
    <row r="105" spans="1:5" x14ac:dyDescent="0.3">
      <c r="A105" t="str">
        <f t="shared" si="1"/>
        <v>IL SecureHorizons by UnitedHealthcare</v>
      </c>
      <c r="B105" s="1" t="s">
        <v>543</v>
      </c>
      <c r="C105" s="1" t="s">
        <v>368</v>
      </c>
      <c r="D105" s="1" t="str">
        <f>IFERROR(VLOOKUP(A105,'MLR Data'!$A$2:$D$706,4,0),"")</f>
        <v/>
      </c>
      <c r="E105" s="5" t="s">
        <v>20</v>
      </c>
    </row>
    <row r="106" spans="1:5" x14ac:dyDescent="0.3">
      <c r="A106" t="str">
        <f t="shared" si="1"/>
        <v>NY Independent Health</v>
      </c>
      <c r="B106" s="1" t="s">
        <v>665</v>
      </c>
      <c r="C106" s="1" t="s">
        <v>678</v>
      </c>
      <c r="D106" s="1" t="str">
        <f>IFERROR(VLOOKUP(A106,'MLR Data'!$A$2:$D$706,4,0),"")</f>
        <v/>
      </c>
      <c r="E106" s="5" t="s">
        <v>230</v>
      </c>
    </row>
    <row r="107" spans="1:5" x14ac:dyDescent="0.3">
      <c r="A107" t="str">
        <f t="shared" si="1"/>
        <v>NY Universal American Corp.</v>
      </c>
      <c r="B107" s="1" t="s">
        <v>665</v>
      </c>
      <c r="C107" s="1" t="s">
        <v>383</v>
      </c>
      <c r="D107" s="1" t="str">
        <f>IFERROR(VLOOKUP(A107,'MLR Data'!$A$2:$D$706,4,0),"")</f>
        <v/>
      </c>
      <c r="E107" s="3" t="s">
        <v>853</v>
      </c>
    </row>
    <row r="108" spans="1:5" x14ac:dyDescent="0.3">
      <c r="A108" t="str">
        <f t="shared" si="1"/>
        <v>NY Universal American</v>
      </c>
      <c r="B108" s="1" t="s">
        <v>665</v>
      </c>
      <c r="C108" s="1" t="s">
        <v>384</v>
      </c>
      <c r="D108" s="1" t="str">
        <f>IFERROR(VLOOKUP(A108,'MLR Data'!$A$2:$D$706,4,0),"")</f>
        <v/>
      </c>
      <c r="E108" s="3" t="s">
        <v>853</v>
      </c>
    </row>
    <row r="109" spans="1:5" x14ac:dyDescent="0.3">
      <c r="A109" t="str">
        <f t="shared" si="1"/>
        <v>TN Healthspring</v>
      </c>
      <c r="B109" s="1" t="s">
        <v>784</v>
      </c>
      <c r="C109" s="1" t="s">
        <v>788</v>
      </c>
      <c r="D109" s="1" t="str">
        <f>IFERROR(VLOOKUP(A109,'MLR Data'!$A$2:$D$706,4,0),"")</f>
        <v/>
      </c>
      <c r="E109" s="5" t="s">
        <v>111</v>
      </c>
    </row>
    <row r="110" spans="1:5" x14ac:dyDescent="0.3">
      <c r="A110" t="str">
        <f t="shared" si="1"/>
        <v>CO Kaiser Permanente Senior Advantage</v>
      </c>
      <c r="B110" s="1" t="s">
        <v>464</v>
      </c>
      <c r="C110" s="1" t="s">
        <v>424</v>
      </c>
      <c r="D110" s="1" t="str">
        <f>IFERROR(VLOOKUP(A110,'MLR Data'!$A$2:$D$706,4,0),"")</f>
        <v/>
      </c>
      <c r="E110" s="5" t="s">
        <v>55</v>
      </c>
    </row>
    <row r="111" spans="1:5" x14ac:dyDescent="0.3">
      <c r="A111" t="str">
        <f t="shared" si="1"/>
        <v>FL Citrus Health Care, Inc.</v>
      </c>
      <c r="B111" s="1" t="s">
        <v>482</v>
      </c>
      <c r="C111" s="1" t="s">
        <v>77</v>
      </c>
      <c r="D111" s="1" t="str">
        <f>IFERROR(VLOOKUP(A111,'MLR Data'!$A$2:$D$706,4,0),"")</f>
        <v>Citrus Health Care, Inc.</v>
      </c>
      <c r="E111" s="5" t="s">
        <v>77</v>
      </c>
    </row>
    <row r="112" spans="1:5" x14ac:dyDescent="0.3">
      <c r="A112" t="str">
        <f t="shared" si="1"/>
        <v>GA Evercare® by UnitedHealthcare</v>
      </c>
      <c r="B112" s="1" t="s">
        <v>523</v>
      </c>
      <c r="C112" s="1" t="s">
        <v>396</v>
      </c>
      <c r="D112" s="1" t="str">
        <f>IFERROR(VLOOKUP(A112,'MLR Data'!$A$2:$D$706,4,0),"")</f>
        <v/>
      </c>
      <c r="E112" s="5" t="s">
        <v>20</v>
      </c>
    </row>
    <row r="113" spans="1:5" x14ac:dyDescent="0.3">
      <c r="A113" t="str">
        <f t="shared" si="1"/>
        <v>IN Advantra® Freedom</v>
      </c>
      <c r="B113" s="1" t="s">
        <v>549</v>
      </c>
      <c r="C113" s="1" t="s">
        <v>387</v>
      </c>
      <c r="D113" s="1" t="str">
        <f>IFERROR(VLOOKUP(A113,'MLR Data'!$A$2:$D$706,4,0),"")</f>
        <v/>
      </c>
      <c r="E113" s="5" t="s">
        <v>4</v>
      </c>
    </row>
    <row r="114" spans="1:5" x14ac:dyDescent="0.3">
      <c r="A114" t="str">
        <f t="shared" si="1"/>
        <v>NC Advantra® Freedom</v>
      </c>
      <c r="B114" s="1" t="s">
        <v>629</v>
      </c>
      <c r="C114" s="1" t="s">
        <v>387</v>
      </c>
      <c r="D114" s="1" t="str">
        <f>IFERROR(VLOOKUP(A114,'MLR Data'!$A$2:$D$706,4,0),"")</f>
        <v/>
      </c>
      <c r="E114" s="5" t="s">
        <v>26</v>
      </c>
    </row>
    <row r="115" spans="1:5" x14ac:dyDescent="0.3">
      <c r="A115" t="str">
        <f t="shared" si="1"/>
        <v>OR Health Net Life Insurance Company</v>
      </c>
      <c r="B115" s="1" t="s">
        <v>728</v>
      </c>
      <c r="C115" s="1" t="s">
        <v>28</v>
      </c>
      <c r="D115" s="1" t="str">
        <f>IFERROR(VLOOKUP(A115,'MLR Data'!$A$2:$D$706,4,0),"")</f>
        <v/>
      </c>
      <c r="E115" s="5" t="s">
        <v>256</v>
      </c>
    </row>
    <row r="116" spans="1:5" x14ac:dyDescent="0.3">
      <c r="A116" t="str">
        <f t="shared" si="1"/>
        <v>MS Windsor Medicare Extra</v>
      </c>
      <c r="B116" s="1" t="s">
        <v>626</v>
      </c>
      <c r="C116" s="1" t="s">
        <v>375</v>
      </c>
      <c r="D116" s="1" t="str">
        <f>IFERROR(VLOOKUP(A116,'MLR Data'!$A$2:$D$706,4,0),"")</f>
        <v/>
      </c>
      <c r="E116" s="3" t="s">
        <v>853</v>
      </c>
    </row>
    <row r="117" spans="1:5" x14ac:dyDescent="0.3">
      <c r="A117" t="str">
        <f t="shared" si="1"/>
        <v>NY HIP Health Plan of Greater New York</v>
      </c>
      <c r="B117" s="1" t="s">
        <v>665</v>
      </c>
      <c r="C117" s="1" t="s">
        <v>696</v>
      </c>
      <c r="D117" s="1" t="str">
        <f>IFERROR(VLOOKUP(A117,'MLR Data'!$A$2:$D$706,4,0),"")</f>
        <v/>
      </c>
      <c r="E117" s="5" t="s">
        <v>227</v>
      </c>
    </row>
    <row r="118" spans="1:5" x14ac:dyDescent="0.3">
      <c r="A118" t="str">
        <f t="shared" si="1"/>
        <v>VA Optima Medicare</v>
      </c>
      <c r="B118" s="1" t="s">
        <v>819</v>
      </c>
      <c r="C118" s="1" t="s">
        <v>820</v>
      </c>
      <c r="D118" s="1" t="str">
        <f>IFERROR(VLOOKUP(A118,'MLR Data'!$A$2:$D$706,4,0),"")</f>
        <v/>
      </c>
      <c r="E118" s="5" t="s">
        <v>328</v>
      </c>
    </row>
    <row r="119" spans="1:5" x14ac:dyDescent="0.3">
      <c r="A119" t="str">
        <f t="shared" si="1"/>
        <v>CA SCAN Health Plan</v>
      </c>
      <c r="B119" s="1" t="s">
        <v>418</v>
      </c>
      <c r="C119" s="1" t="s">
        <v>427</v>
      </c>
      <c r="D119" s="1" t="str">
        <f>IFERROR(VLOOKUP(A119,'MLR Data'!$A$2:$D$706,4,0),"")</f>
        <v/>
      </c>
      <c r="E119" s="3" t="s">
        <v>853</v>
      </c>
    </row>
    <row r="120" spans="1:5" x14ac:dyDescent="0.3">
      <c r="A120" t="str">
        <f t="shared" si="1"/>
        <v>IL Humana Benefit Plan of Illinois, Inc.</v>
      </c>
      <c r="B120" s="1" t="s">
        <v>543</v>
      </c>
      <c r="C120" s="1" t="s">
        <v>112</v>
      </c>
      <c r="D120" s="1" t="str">
        <f>IFERROR(VLOOKUP(A120,'MLR Data'!$A$2:$D$706,4,0),"")</f>
        <v>Humana Benefit Plan of Illinois, Inc.</v>
      </c>
      <c r="E120" s="3" t="s">
        <v>112</v>
      </c>
    </row>
    <row r="121" spans="1:5" x14ac:dyDescent="0.3">
      <c r="A121" t="str">
        <f t="shared" si="1"/>
        <v>MA Tufts Health Plan or Tufts Medicare Preferred</v>
      </c>
      <c r="B121" s="1" t="s">
        <v>569</v>
      </c>
      <c r="C121" s="1" t="s">
        <v>570</v>
      </c>
      <c r="D121" s="1" t="str">
        <f>IFERROR(VLOOKUP(A121,'MLR Data'!$A$2:$D$706,4,0),"")</f>
        <v/>
      </c>
      <c r="E121" s="5" t="s">
        <v>67</v>
      </c>
    </row>
    <row r="122" spans="1:5" x14ac:dyDescent="0.3">
      <c r="A122" t="str">
        <f t="shared" si="1"/>
        <v>TN Windsor Medicare Extra</v>
      </c>
      <c r="B122" s="1" t="s">
        <v>784</v>
      </c>
      <c r="C122" s="1" t="s">
        <v>375</v>
      </c>
      <c r="D122" s="1" t="str">
        <f>IFERROR(VLOOKUP(A122,'MLR Data'!$A$2:$D$706,4,0),"")</f>
        <v/>
      </c>
      <c r="E122" s="3" t="s">
        <v>853</v>
      </c>
    </row>
    <row r="123" spans="1:5" x14ac:dyDescent="0.3">
      <c r="A123" t="str">
        <f t="shared" si="1"/>
        <v>MN Unicare Life &amp; Health Ins. Company</v>
      </c>
      <c r="B123" s="1" t="s">
        <v>608</v>
      </c>
      <c r="C123" s="1" t="s">
        <v>415</v>
      </c>
      <c r="D123" s="1" t="str">
        <f>IFERROR(VLOOKUP(A123,'MLR Data'!$A$2:$D$706,4,0),"")</f>
        <v/>
      </c>
      <c r="E123" s="3" t="s">
        <v>853</v>
      </c>
    </row>
    <row r="124" spans="1:5" x14ac:dyDescent="0.3">
      <c r="A124" t="str">
        <f t="shared" si="1"/>
        <v>NE Humana Insurance Company</v>
      </c>
      <c r="B124" s="1" t="s">
        <v>638</v>
      </c>
      <c r="C124" s="1" t="s">
        <v>372</v>
      </c>
      <c r="D124" s="1" t="str">
        <f>IFERROR(VLOOKUP(A124,'MLR Data'!$A$2:$D$706,4,0),"")</f>
        <v/>
      </c>
      <c r="E124" s="5" t="s">
        <v>15</v>
      </c>
    </row>
    <row r="125" spans="1:5" x14ac:dyDescent="0.3">
      <c r="A125" t="str">
        <f t="shared" si="1"/>
        <v>PA Capital Advantage Insurance Company</v>
      </c>
      <c r="B125" s="1" t="s">
        <v>744</v>
      </c>
      <c r="C125" s="1" t="s">
        <v>267</v>
      </c>
      <c r="D125" s="1" t="str">
        <f>IFERROR(VLOOKUP(A125,'MLR Data'!$A$2:$D$706,4,0),"")</f>
        <v>Capital Advantage Insurance Company</v>
      </c>
      <c r="E125" s="3" t="s">
        <v>267</v>
      </c>
    </row>
    <row r="126" spans="1:5" x14ac:dyDescent="0.3">
      <c r="A126" t="str">
        <f t="shared" si="1"/>
        <v>SD Humana Insurance Company</v>
      </c>
      <c r="B126" s="1" t="s">
        <v>783</v>
      </c>
      <c r="C126" s="1" t="s">
        <v>372</v>
      </c>
      <c r="D126" s="1" t="str">
        <f>IFERROR(VLOOKUP(A126,'MLR Data'!$A$2:$D$706,4,0),"")</f>
        <v/>
      </c>
      <c r="E126" s="5" t="s">
        <v>15</v>
      </c>
    </row>
    <row r="127" spans="1:5" x14ac:dyDescent="0.3">
      <c r="A127" t="str">
        <f t="shared" si="1"/>
        <v>ND Humana Insurance Company</v>
      </c>
      <c r="B127" s="1" t="s">
        <v>637</v>
      </c>
      <c r="C127" s="1" t="s">
        <v>372</v>
      </c>
      <c r="D127" s="1" t="str">
        <f>IFERROR(VLOOKUP(A127,'MLR Data'!$A$2:$D$706,4,0),"")</f>
        <v/>
      </c>
      <c r="E127" s="5" t="s">
        <v>15</v>
      </c>
    </row>
    <row r="128" spans="1:5" x14ac:dyDescent="0.3">
      <c r="A128" t="str">
        <f t="shared" si="1"/>
        <v>FL Blue Cross and Blue Shield of Florida, Inc.</v>
      </c>
      <c r="B128" s="1" t="s">
        <v>482</v>
      </c>
      <c r="C128" s="1" t="s">
        <v>75</v>
      </c>
      <c r="D128" s="1" t="str">
        <f>IFERROR(VLOOKUP(A128,'MLR Data'!$A$2:$D$706,4,0),"")</f>
        <v>Blue Cross and Blue Shield of Florida, Inc.</v>
      </c>
      <c r="E128" s="3" t="s">
        <v>75</v>
      </c>
    </row>
    <row r="129" spans="1:5" x14ac:dyDescent="0.3">
      <c r="A129" t="str">
        <f t="shared" si="1"/>
        <v>GA Unicare Life &amp; Health Ins. Company</v>
      </c>
      <c r="B129" s="1" t="s">
        <v>523</v>
      </c>
      <c r="C129" s="1" t="s">
        <v>415</v>
      </c>
      <c r="D129" s="1" t="str">
        <f>IFERROR(VLOOKUP(A129,'MLR Data'!$A$2:$D$706,4,0),"")</f>
        <v/>
      </c>
      <c r="E129" s="5" t="s">
        <v>16</v>
      </c>
    </row>
    <row r="130" spans="1:5" x14ac:dyDescent="0.3">
      <c r="A130" t="str">
        <f t="shared" ref="A130:A193" si="2">B130&amp;" "&amp;C130</f>
        <v>NY Aetna Medicare</v>
      </c>
      <c r="B130" s="1" t="s">
        <v>665</v>
      </c>
      <c r="C130" s="1" t="s">
        <v>407</v>
      </c>
      <c r="D130" s="1" t="str">
        <f>IFERROR(VLOOKUP(A130,'MLR Data'!$A$2:$D$706,4,0),"")</f>
        <v/>
      </c>
      <c r="E130" s="5" t="s">
        <v>217</v>
      </c>
    </row>
    <row r="131" spans="1:5" x14ac:dyDescent="0.3">
      <c r="A131" t="str">
        <f t="shared" si="2"/>
        <v>PA UnitedHealthcare Community Plan</v>
      </c>
      <c r="B131" s="1" t="s">
        <v>744</v>
      </c>
      <c r="C131" s="1" t="s">
        <v>389</v>
      </c>
      <c r="D131" s="1" t="str">
        <f>IFERROR(VLOOKUP(A131,'MLR Data'!$A$2:$D$706,4,0),"")</f>
        <v/>
      </c>
      <c r="E131" s="5" t="s">
        <v>20</v>
      </c>
    </row>
    <row r="132" spans="1:5" x14ac:dyDescent="0.3">
      <c r="A132" t="str">
        <f t="shared" si="2"/>
        <v>WA Humana Insurance Company</v>
      </c>
      <c r="B132" s="1" t="s">
        <v>824</v>
      </c>
      <c r="C132" s="1" t="s">
        <v>372</v>
      </c>
      <c r="D132" s="1" t="str">
        <f>IFERROR(VLOOKUP(A132,'MLR Data'!$A$2:$D$706,4,0),"")</f>
        <v/>
      </c>
      <c r="E132" s="5" t="s">
        <v>15</v>
      </c>
    </row>
    <row r="133" spans="1:5" x14ac:dyDescent="0.3">
      <c r="A133" t="str">
        <f t="shared" si="2"/>
        <v>CA CareMore Health Plan</v>
      </c>
      <c r="B133" s="1" t="s">
        <v>418</v>
      </c>
      <c r="C133" s="1" t="s">
        <v>435</v>
      </c>
      <c r="D133" s="1" t="str">
        <f>IFERROR(VLOOKUP(A133,'MLR Data'!$A$2:$D$706,4,0),"")</f>
        <v/>
      </c>
      <c r="E133" s="3" t="s">
        <v>853</v>
      </c>
    </row>
    <row r="134" spans="1:5" x14ac:dyDescent="0.3">
      <c r="A134" t="str">
        <f t="shared" si="2"/>
        <v>FL Physicians United Plan</v>
      </c>
      <c r="B134" s="1" t="s">
        <v>482</v>
      </c>
      <c r="C134" s="1" t="s">
        <v>483</v>
      </c>
      <c r="D134" s="1" t="str">
        <f>IFERROR(VLOOKUP(A134,'MLR Data'!$A$2:$D$706,4,0),"")</f>
        <v/>
      </c>
      <c r="E134" s="3" t="s">
        <v>853</v>
      </c>
    </row>
    <row r="135" spans="1:5" x14ac:dyDescent="0.3">
      <c r="A135" t="str">
        <f t="shared" si="2"/>
        <v>FL Evercare® by UnitedHealthcare</v>
      </c>
      <c r="B135" s="1" t="s">
        <v>482</v>
      </c>
      <c r="C135" s="1" t="s">
        <v>396</v>
      </c>
      <c r="D135" s="1" t="str">
        <f>IFERROR(VLOOKUP(A135,'MLR Data'!$A$2:$D$706,4,0),"")</f>
        <v/>
      </c>
      <c r="E135" s="5" t="s">
        <v>20</v>
      </c>
    </row>
    <row r="136" spans="1:5" x14ac:dyDescent="0.3">
      <c r="A136" t="str">
        <f t="shared" si="2"/>
        <v>OR SecureHorizons by UnitedHealthcare</v>
      </c>
      <c r="B136" s="1" t="s">
        <v>728</v>
      </c>
      <c r="C136" s="1" t="s">
        <v>368</v>
      </c>
      <c r="D136" s="1" t="str">
        <f>IFERROR(VLOOKUP(A136,'MLR Data'!$A$2:$D$706,4,0),"")</f>
        <v/>
      </c>
      <c r="E136" s="5" t="s">
        <v>20</v>
      </c>
    </row>
    <row r="137" spans="1:5" x14ac:dyDescent="0.3">
      <c r="A137" t="str">
        <f t="shared" si="2"/>
        <v>PA Unison Advantage</v>
      </c>
      <c r="B137" s="1" t="s">
        <v>744</v>
      </c>
      <c r="C137" s="1" t="s">
        <v>746</v>
      </c>
      <c r="D137" s="1" t="str">
        <f>IFERROR(VLOOKUP(A137,'MLR Data'!$A$2:$D$706,4,0),"")</f>
        <v/>
      </c>
      <c r="E137" s="3" t="s">
        <v>853</v>
      </c>
    </row>
    <row r="138" spans="1:5" x14ac:dyDescent="0.3">
      <c r="A138" t="str">
        <f t="shared" si="2"/>
        <v>SC Guardian Healthcare, Inc.</v>
      </c>
      <c r="B138" s="1" t="s">
        <v>775</v>
      </c>
      <c r="C138" s="1" t="s">
        <v>778</v>
      </c>
      <c r="D138" s="1" t="str">
        <f>IFERROR(VLOOKUP(A138,'MLR Data'!$A$2:$D$706,4,0),"")</f>
        <v/>
      </c>
      <c r="E138" s="3" t="s">
        <v>853</v>
      </c>
    </row>
    <row r="139" spans="1:5" x14ac:dyDescent="0.3">
      <c r="A139" t="str">
        <f t="shared" si="2"/>
        <v>AZ Health Net of Arizona, Inc.</v>
      </c>
      <c r="B139" s="1" t="s">
        <v>388</v>
      </c>
      <c r="C139" s="1" t="s">
        <v>392</v>
      </c>
      <c r="D139" s="1" t="str">
        <f>IFERROR(VLOOKUP(A139,'MLR Data'!$A$2:$D$706,4,0),"")</f>
        <v/>
      </c>
      <c r="E139" s="5" t="s">
        <v>30</v>
      </c>
    </row>
    <row r="140" spans="1:5" x14ac:dyDescent="0.3">
      <c r="A140" t="str">
        <f t="shared" si="2"/>
        <v>FL Universal Health Care Insurance Company, Inc.</v>
      </c>
      <c r="B140" s="1" t="s">
        <v>482</v>
      </c>
      <c r="C140" s="1" t="s">
        <v>405</v>
      </c>
      <c r="D140" s="1" t="str">
        <f>IFERROR(VLOOKUP(A140,'MLR Data'!$A$2:$D$706,4,0),"")</f>
        <v/>
      </c>
      <c r="E140" s="3" t="s">
        <v>853</v>
      </c>
    </row>
    <row r="141" spans="1:5" x14ac:dyDescent="0.3">
      <c r="A141" t="str">
        <f t="shared" si="2"/>
        <v>FL UNIVERSAL HEALTH CARE INSURANCE COMPANY, INC.</v>
      </c>
      <c r="B141" s="1" t="s">
        <v>482</v>
      </c>
      <c r="C141" s="1" t="s">
        <v>394</v>
      </c>
      <c r="D141" s="1" t="str">
        <f>IFERROR(VLOOKUP(A141,'MLR Data'!$A$2:$D$706,4,0),"")</f>
        <v/>
      </c>
      <c r="E141" s="3" t="s">
        <v>853</v>
      </c>
    </row>
    <row r="142" spans="1:5" x14ac:dyDescent="0.3">
      <c r="A142" t="str">
        <f t="shared" si="2"/>
        <v>TX PHYSICIANS HEALTH CHOICE</v>
      </c>
      <c r="B142" s="1" t="s">
        <v>791</v>
      </c>
      <c r="C142" s="1" t="s">
        <v>793</v>
      </c>
      <c r="D142" s="1" t="str">
        <f>IFERROR(VLOOKUP(A142,'MLR Data'!$A$2:$D$706,4,0),"")</f>
        <v/>
      </c>
      <c r="E142" s="3" t="s">
        <v>853</v>
      </c>
    </row>
    <row r="143" spans="1:5" x14ac:dyDescent="0.3">
      <c r="A143" t="str">
        <f t="shared" si="2"/>
        <v>VA Anthem Blue Cross and Blue Shield</v>
      </c>
      <c r="B143" s="1" t="s">
        <v>819</v>
      </c>
      <c r="C143" s="1" t="s">
        <v>467</v>
      </c>
      <c r="D143" s="1" t="str">
        <f>IFERROR(VLOOKUP(A143,'MLR Data'!$A$2:$D$706,4,0),"")</f>
        <v/>
      </c>
      <c r="E143" s="5" t="s">
        <v>326</v>
      </c>
    </row>
    <row r="144" spans="1:5" x14ac:dyDescent="0.3">
      <c r="A144" t="str">
        <f t="shared" si="2"/>
        <v>MO Coventry Health And Life Ins. Company</v>
      </c>
      <c r="B144" s="1" t="s">
        <v>621</v>
      </c>
      <c r="C144" s="1" t="s">
        <v>556</v>
      </c>
      <c r="D144" s="1" t="str">
        <f>IFERROR(VLOOKUP(A144,'MLR Data'!$A$2:$D$706,4,0),"")</f>
        <v/>
      </c>
      <c r="E144" s="5" t="s">
        <v>35</v>
      </c>
    </row>
    <row r="145" spans="1:5" x14ac:dyDescent="0.3">
      <c r="A145" t="str">
        <f t="shared" si="2"/>
        <v>NC Universal American</v>
      </c>
      <c r="B145" s="1" t="s">
        <v>629</v>
      </c>
      <c r="C145" s="1" t="s">
        <v>384</v>
      </c>
      <c r="D145" s="1" t="str">
        <f>IFERROR(VLOOKUP(A145,'MLR Data'!$A$2:$D$706,4,0),"")</f>
        <v/>
      </c>
      <c r="E145" s="3" t="s">
        <v>853</v>
      </c>
    </row>
    <row r="146" spans="1:5" x14ac:dyDescent="0.3">
      <c r="A146" t="str">
        <f t="shared" si="2"/>
        <v>NY Touchstone Health</v>
      </c>
      <c r="B146" s="1" t="s">
        <v>665</v>
      </c>
      <c r="C146" s="1" t="s">
        <v>681</v>
      </c>
      <c r="D146" s="1" t="str">
        <f>IFERROR(VLOOKUP(A146,'MLR Data'!$A$2:$D$706,4,0),"")</f>
        <v/>
      </c>
      <c r="E146" s="3" t="s">
        <v>853</v>
      </c>
    </row>
    <row r="147" spans="1:5" x14ac:dyDescent="0.3">
      <c r="A147" t="str">
        <f t="shared" si="2"/>
        <v>NY EmblemHealth Medicare PPO</v>
      </c>
      <c r="B147" s="1" t="s">
        <v>665</v>
      </c>
      <c r="C147" s="1" t="s">
        <v>691</v>
      </c>
      <c r="D147" s="1" t="str">
        <f>IFERROR(VLOOKUP(A147,'MLR Data'!$A$2:$D$706,4,0),"")</f>
        <v/>
      </c>
      <c r="E147" s="5" t="s">
        <v>225</v>
      </c>
    </row>
    <row r="148" spans="1:5" x14ac:dyDescent="0.3">
      <c r="A148" t="str">
        <f t="shared" si="2"/>
        <v>PA Keystone Health Plan Central, Inc.</v>
      </c>
      <c r="B148" s="1" t="s">
        <v>744</v>
      </c>
      <c r="C148" s="1" t="s">
        <v>754</v>
      </c>
      <c r="D148" s="1" t="str">
        <f>IFERROR(VLOOKUP(A148,'MLR Data'!$A$2:$D$706,4,0),"")</f>
        <v/>
      </c>
      <c r="E148" s="5" t="s">
        <v>279</v>
      </c>
    </row>
    <row r="149" spans="1:5" x14ac:dyDescent="0.3">
      <c r="A149" t="str">
        <f t="shared" si="2"/>
        <v>TX Cigna-HealthSpring</v>
      </c>
      <c r="B149" s="1" t="s">
        <v>791</v>
      </c>
      <c r="C149" s="1" t="s">
        <v>373</v>
      </c>
      <c r="D149" s="1" t="str">
        <f>IFERROR(VLOOKUP(A149,'MLR Data'!$A$2:$D$706,4,0),"")</f>
        <v/>
      </c>
      <c r="E149" s="5" t="s">
        <v>9</v>
      </c>
    </row>
    <row r="150" spans="1:5" x14ac:dyDescent="0.3">
      <c r="A150" t="str">
        <f t="shared" si="2"/>
        <v>CO AARP MedicareComplete provided by SecureHorizons</v>
      </c>
      <c r="B150" s="1" t="s">
        <v>464</v>
      </c>
      <c r="C150" s="1" t="s">
        <v>468</v>
      </c>
      <c r="D150" s="1" t="str">
        <f>IFERROR(VLOOKUP(A150,'MLR Data'!$A$2:$D$706,4,0),"")</f>
        <v/>
      </c>
      <c r="E150" s="5" t="s">
        <v>20</v>
      </c>
    </row>
    <row r="151" spans="1:5" x14ac:dyDescent="0.3">
      <c r="A151" t="str">
        <f t="shared" si="2"/>
        <v>IN Universal American</v>
      </c>
      <c r="B151" s="1" t="s">
        <v>549</v>
      </c>
      <c r="C151" s="1" t="s">
        <v>384</v>
      </c>
      <c r="D151" s="1" t="str">
        <f>IFERROR(VLOOKUP(A151,'MLR Data'!$A$2:$D$706,4,0),"")</f>
        <v/>
      </c>
      <c r="E151" s="3" t="s">
        <v>853</v>
      </c>
    </row>
    <row r="152" spans="1:5" x14ac:dyDescent="0.3">
      <c r="A152" t="str">
        <f t="shared" si="2"/>
        <v>MN HealthPartners Freedom Plan</v>
      </c>
      <c r="B152" s="1" t="s">
        <v>608</v>
      </c>
      <c r="C152" s="1" t="s">
        <v>614</v>
      </c>
      <c r="D152" s="1" t="str">
        <f>IFERROR(VLOOKUP(A152,'MLR Data'!$A$2:$D$706,4,0),"")</f>
        <v/>
      </c>
      <c r="E152" s="5" t="s">
        <v>181</v>
      </c>
    </row>
    <row r="153" spans="1:5" x14ac:dyDescent="0.3">
      <c r="A153" t="str">
        <f t="shared" si="2"/>
        <v>NE SecureHorizons by UnitedHealthcare</v>
      </c>
      <c r="B153" s="1" t="s">
        <v>638</v>
      </c>
      <c r="C153" s="1" t="s">
        <v>368</v>
      </c>
      <c r="D153" s="1" t="str">
        <f>IFERROR(VLOOKUP(A153,'MLR Data'!$A$2:$D$706,4,0),"")</f>
        <v/>
      </c>
      <c r="E153" s="5" t="s">
        <v>20</v>
      </c>
    </row>
    <row r="154" spans="1:5" x14ac:dyDescent="0.3">
      <c r="A154" t="str">
        <f t="shared" si="2"/>
        <v>OH PrimeTime Health Plan</v>
      </c>
      <c r="B154" s="1" t="s">
        <v>710</v>
      </c>
      <c r="C154" s="1" t="s">
        <v>712</v>
      </c>
      <c r="D154" s="1" t="str">
        <f>IFERROR(VLOOKUP(A154,'MLR Data'!$A$2:$D$706,4,0),"")</f>
        <v/>
      </c>
      <c r="E154" s="3" t="s">
        <v>853</v>
      </c>
    </row>
    <row r="155" spans="1:5" x14ac:dyDescent="0.3">
      <c r="A155" t="str">
        <f t="shared" si="2"/>
        <v>GA WellCare</v>
      </c>
      <c r="B155" s="1" t="s">
        <v>523</v>
      </c>
      <c r="C155" s="1" t="s">
        <v>381</v>
      </c>
      <c r="D155" s="1" t="str">
        <f>IFERROR(VLOOKUP(A155,'MLR Data'!$A$2:$D$706,4,0),"")</f>
        <v/>
      </c>
      <c r="E155" s="3" t="s">
        <v>853</v>
      </c>
    </row>
    <row r="156" spans="1:5" x14ac:dyDescent="0.3">
      <c r="A156" t="str">
        <f t="shared" si="2"/>
        <v>NY Empire BlueCross BlueShield HMO</v>
      </c>
      <c r="B156" s="1" t="s">
        <v>665</v>
      </c>
      <c r="C156" s="1" t="s">
        <v>675</v>
      </c>
      <c r="D156" s="1" t="str">
        <f>IFERROR(VLOOKUP(A156,'MLR Data'!$A$2:$D$706,4,0),"")</f>
        <v/>
      </c>
      <c r="E156" s="5" t="s">
        <v>222</v>
      </c>
    </row>
    <row r="157" spans="1:5" x14ac:dyDescent="0.3">
      <c r="A157" t="str">
        <f t="shared" si="2"/>
        <v>PA Keystone 65</v>
      </c>
      <c r="B157" s="1" t="s">
        <v>744</v>
      </c>
      <c r="C157" s="1" t="s">
        <v>760</v>
      </c>
      <c r="D157" s="1" t="str">
        <f>IFERROR(VLOOKUP(A157,'MLR Data'!$A$2:$D$706,4,0),"")</f>
        <v/>
      </c>
      <c r="E157" s="5" t="s">
        <v>279</v>
      </c>
    </row>
    <row r="158" spans="1:5" x14ac:dyDescent="0.3">
      <c r="A158" t="str">
        <f t="shared" si="2"/>
        <v>WA Community HealthFirst Medicare Advantage Plan</v>
      </c>
      <c r="B158" s="1" t="s">
        <v>824</v>
      </c>
      <c r="C158" s="1" t="s">
        <v>825</v>
      </c>
      <c r="D158" s="1" t="s">
        <v>854</v>
      </c>
      <c r="E158" s="3" t="s">
        <v>853</v>
      </c>
    </row>
    <row r="159" spans="1:5" x14ac:dyDescent="0.3">
      <c r="A159" t="str">
        <f t="shared" si="2"/>
        <v>WA Regence BlueShield</v>
      </c>
      <c r="B159" s="1" t="s">
        <v>824</v>
      </c>
      <c r="C159" s="1" t="s">
        <v>338</v>
      </c>
      <c r="D159" s="1" t="str">
        <f>IFERROR(VLOOKUP(A159,'MLR Data'!$A$2:$D$706,4,0),"")</f>
        <v>Regence BlueShield</v>
      </c>
      <c r="E159" s="3" t="s">
        <v>338</v>
      </c>
    </row>
    <row r="160" spans="1:5" x14ac:dyDescent="0.3">
      <c r="A160" t="str">
        <f t="shared" si="2"/>
        <v>NY Fidelis Care</v>
      </c>
      <c r="B160" s="1" t="s">
        <v>665</v>
      </c>
      <c r="C160" s="1" t="s">
        <v>670</v>
      </c>
      <c r="D160" s="1" t="str">
        <f>IFERROR(VLOOKUP(A160,'MLR Data'!$A$2:$D$706,4,0),"")</f>
        <v/>
      </c>
      <c r="E160" s="3" t="s">
        <v>853</v>
      </c>
    </row>
    <row r="161" spans="1:5" x14ac:dyDescent="0.3">
      <c r="A161" t="str">
        <f t="shared" si="2"/>
        <v>VA UnitedHealthcare Plan of the River Valley, Inc.</v>
      </c>
      <c r="B161" s="1" t="s">
        <v>819</v>
      </c>
      <c r="C161" s="1" t="s">
        <v>114</v>
      </c>
      <c r="D161" s="1" t="str">
        <f>IFERROR(VLOOKUP(A161,'MLR Data'!$A$2:$D$706,4,0),"")</f>
        <v>UnitedHealthcare Plan of the River Valley, Inc.</v>
      </c>
      <c r="E161" s="3" t="s">
        <v>114</v>
      </c>
    </row>
    <row r="162" spans="1:5" x14ac:dyDescent="0.3">
      <c r="A162" t="str">
        <f t="shared" si="2"/>
        <v>CA SecureHorizons MedicareDirect</v>
      </c>
      <c r="B162" s="1" t="s">
        <v>418</v>
      </c>
      <c r="C162" s="1" t="s">
        <v>390</v>
      </c>
      <c r="D162" s="1" t="str">
        <f>IFERROR(VLOOKUP(A162,'MLR Data'!$A$2:$D$706,4,0),"")</f>
        <v/>
      </c>
      <c r="E162" s="5" t="s">
        <v>20</v>
      </c>
    </row>
    <row r="163" spans="1:5" x14ac:dyDescent="0.3">
      <c r="A163" t="str">
        <f t="shared" si="2"/>
        <v>CO Evercare® by UnitedHealthcare</v>
      </c>
      <c r="B163" s="1" t="s">
        <v>464</v>
      </c>
      <c r="C163" s="1" t="s">
        <v>396</v>
      </c>
      <c r="D163" s="1" t="str">
        <f>IFERROR(VLOOKUP(A163,'MLR Data'!$A$2:$D$706,4,0),"")</f>
        <v/>
      </c>
      <c r="E163" s="5" t="s">
        <v>20</v>
      </c>
    </row>
    <row r="164" spans="1:5" x14ac:dyDescent="0.3">
      <c r="A164" t="str">
        <f t="shared" si="2"/>
        <v>IA Coventry Health Care of Iowa, Inc.</v>
      </c>
      <c r="B164" s="1" t="s">
        <v>536</v>
      </c>
      <c r="C164" s="1" t="s">
        <v>538</v>
      </c>
      <c r="D164" s="1" t="str">
        <f>IFERROR(VLOOKUP(A164,'MLR Data'!$A$2:$D$706,4,0),"")</f>
        <v/>
      </c>
      <c r="E164" s="5" t="s">
        <v>121</v>
      </c>
    </row>
    <row r="165" spans="1:5" x14ac:dyDescent="0.3">
      <c r="A165" t="str">
        <f t="shared" si="2"/>
        <v>ID SecureHorizons by UnitedHealthcare</v>
      </c>
      <c r="B165" s="1" t="s">
        <v>539</v>
      </c>
      <c r="C165" s="1" t="s">
        <v>368</v>
      </c>
      <c r="D165" s="1" t="str">
        <f>IFERROR(VLOOKUP(A165,'MLR Data'!$A$2:$D$706,4,0),"")</f>
        <v/>
      </c>
      <c r="E165" s="5" t="s">
        <v>20</v>
      </c>
    </row>
    <row r="166" spans="1:5" x14ac:dyDescent="0.3">
      <c r="A166" t="str">
        <f t="shared" si="2"/>
        <v>IN SecureHorizons MedicareDirect</v>
      </c>
      <c r="B166" s="1" t="s">
        <v>549</v>
      </c>
      <c r="C166" s="1" t="s">
        <v>390</v>
      </c>
      <c r="D166" s="1" t="str">
        <f>IFERROR(VLOOKUP(A166,'MLR Data'!$A$2:$D$706,4,0),"")</f>
        <v/>
      </c>
      <c r="E166" s="5" t="s">
        <v>20</v>
      </c>
    </row>
    <row r="167" spans="1:5" x14ac:dyDescent="0.3">
      <c r="A167" t="str">
        <f t="shared" si="2"/>
        <v>LA WellCare</v>
      </c>
      <c r="B167" s="1" t="s">
        <v>561</v>
      </c>
      <c r="C167" s="1" t="s">
        <v>381</v>
      </c>
      <c r="D167" s="1" t="str">
        <f>IFERROR(VLOOKUP(A167,'MLR Data'!$A$2:$D$706,4,0),"")</f>
        <v/>
      </c>
      <c r="E167" s="3" t="s">
        <v>853</v>
      </c>
    </row>
    <row r="168" spans="1:5" x14ac:dyDescent="0.3">
      <c r="A168" t="str">
        <f t="shared" si="2"/>
        <v>SC Universal Health Care Insurance Company, Inc.</v>
      </c>
      <c r="B168" s="1" t="s">
        <v>775</v>
      </c>
      <c r="C168" s="1" t="s">
        <v>405</v>
      </c>
      <c r="D168" s="1" t="str">
        <f>IFERROR(VLOOKUP(A168,'MLR Data'!$A$2:$D$706,4,0),"")</f>
        <v/>
      </c>
      <c r="E168" s="3" t="s">
        <v>853</v>
      </c>
    </row>
    <row r="169" spans="1:5" x14ac:dyDescent="0.3">
      <c r="A169" t="str">
        <f t="shared" si="2"/>
        <v>SC UNIVERSAL HEALTH CARE INSURANCE COMPANY, INC.</v>
      </c>
      <c r="B169" s="1" t="s">
        <v>775</v>
      </c>
      <c r="C169" s="1" t="s">
        <v>394</v>
      </c>
      <c r="D169" s="1" t="str">
        <f>IFERROR(VLOOKUP(A169,'MLR Data'!$A$2:$D$706,4,0),"")</f>
        <v/>
      </c>
      <c r="E169" s="3" t="s">
        <v>853</v>
      </c>
    </row>
    <row r="170" spans="1:5" x14ac:dyDescent="0.3">
      <c r="A170" t="str">
        <f t="shared" si="2"/>
        <v>TN SecureHorizons by UnitedHealthcare</v>
      </c>
      <c r="B170" s="1" t="s">
        <v>784</v>
      </c>
      <c r="C170" s="1" t="s">
        <v>368</v>
      </c>
      <c r="D170" s="1" t="str">
        <f>IFERROR(VLOOKUP(A170,'MLR Data'!$A$2:$D$706,4,0),"")</f>
        <v/>
      </c>
      <c r="E170" s="5" t="s">
        <v>20</v>
      </c>
    </row>
    <row r="171" spans="1:5" x14ac:dyDescent="0.3">
      <c r="A171" t="str">
        <f t="shared" si="2"/>
        <v>WI UCare</v>
      </c>
      <c r="B171" s="1" t="s">
        <v>830</v>
      </c>
      <c r="C171" s="1" t="s">
        <v>610</v>
      </c>
      <c r="D171" s="1" t="str">
        <f>IFERROR(VLOOKUP(A171,'MLR Data'!$A$2:$D$706,4,0),"")</f>
        <v/>
      </c>
      <c r="E171" s="3" t="s">
        <v>853</v>
      </c>
    </row>
    <row r="172" spans="1:5" x14ac:dyDescent="0.3">
      <c r="A172" t="str">
        <f t="shared" si="2"/>
        <v>AR Arkansas Community Care, Inc.</v>
      </c>
      <c r="B172" s="1" t="s">
        <v>376</v>
      </c>
      <c r="C172" s="1" t="s">
        <v>379</v>
      </c>
      <c r="D172" s="1" t="str">
        <f>IFERROR(VLOOKUP(A172,'MLR Data'!$A$2:$D$706,4,0),"")</f>
        <v/>
      </c>
    </row>
    <row r="173" spans="1:5" x14ac:dyDescent="0.3">
      <c r="A173" t="str">
        <f t="shared" si="2"/>
        <v>FL Coventry Summit Health Plan</v>
      </c>
      <c r="B173" s="1" t="s">
        <v>482</v>
      </c>
      <c r="C173" s="1" t="s">
        <v>500</v>
      </c>
      <c r="D173" s="1" t="str">
        <f>IFERROR(VLOOKUP(A173,'MLR Data'!$A$2:$D$706,4,0),"")</f>
        <v/>
      </c>
      <c r="E173" s="5" t="s">
        <v>79</v>
      </c>
    </row>
    <row r="174" spans="1:5" x14ac:dyDescent="0.3">
      <c r="A174" t="str">
        <f t="shared" si="2"/>
        <v>FL SecureHorizons by UnitedHealthcare</v>
      </c>
      <c r="B174" s="1" t="s">
        <v>482</v>
      </c>
      <c r="C174" s="1" t="s">
        <v>368</v>
      </c>
      <c r="D174" s="1" t="str">
        <f>IFERROR(VLOOKUP(A174,'MLR Data'!$A$2:$D$706,4,0),"")</f>
        <v/>
      </c>
      <c r="E174" s="5" t="s">
        <v>20</v>
      </c>
    </row>
    <row r="175" spans="1:5" x14ac:dyDescent="0.3">
      <c r="A175" t="str">
        <f t="shared" si="2"/>
        <v>KY Anthem Blue Cross and Blue Shield</v>
      </c>
      <c r="B175" s="1" t="s">
        <v>559</v>
      </c>
      <c r="C175" s="1" t="s">
        <v>467</v>
      </c>
      <c r="D175" s="1" t="str">
        <f>IFERROR(VLOOKUP(A175,'MLR Data'!$A$2:$D$706,4,0),"")</f>
        <v/>
      </c>
      <c r="E175" s="5" t="s">
        <v>130</v>
      </c>
    </row>
    <row r="176" spans="1:5" x14ac:dyDescent="0.3">
      <c r="A176" t="str">
        <f t="shared" si="2"/>
        <v>NC UNIVERSAL HEALTH CARE INSURANCE COMPANY, INC.</v>
      </c>
      <c r="B176" s="1" t="s">
        <v>629</v>
      </c>
      <c r="C176" s="1" t="s">
        <v>394</v>
      </c>
      <c r="D176" s="1" t="str">
        <f>IFERROR(VLOOKUP(A176,'MLR Data'!$A$2:$D$706,4,0),"")</f>
        <v/>
      </c>
      <c r="E176" s="3" t="s">
        <v>853</v>
      </c>
    </row>
    <row r="177" spans="1:5" x14ac:dyDescent="0.3">
      <c r="A177" t="str">
        <f t="shared" si="2"/>
        <v>PA Gateway Health Plan Medicare Assured</v>
      </c>
      <c r="B177" s="1" t="s">
        <v>744</v>
      </c>
      <c r="C177" s="1" t="s">
        <v>745</v>
      </c>
      <c r="D177" s="1" t="str">
        <f>IFERROR(VLOOKUP(A177,'MLR Data'!$A$2:$D$706,4,0),"")</f>
        <v/>
      </c>
      <c r="E177" s="3" t="s">
        <v>853</v>
      </c>
    </row>
    <row r="178" spans="1:5" x14ac:dyDescent="0.3">
      <c r="A178" t="str">
        <f t="shared" si="2"/>
        <v>PA Highmark Inc.</v>
      </c>
      <c r="B178" s="1" t="s">
        <v>744</v>
      </c>
      <c r="C178" s="1" t="s">
        <v>278</v>
      </c>
      <c r="D178" s="1" t="str">
        <f>IFERROR(VLOOKUP(A178,'MLR Data'!$A$2:$D$706,4,0),"")</f>
        <v/>
      </c>
      <c r="E178" s="5" t="s">
        <v>277</v>
      </c>
    </row>
    <row r="179" spans="1:5" x14ac:dyDescent="0.3">
      <c r="A179" t="str">
        <f t="shared" si="2"/>
        <v>TX SelectCare of Texas, LLC</v>
      </c>
      <c r="B179" s="1" t="s">
        <v>791</v>
      </c>
      <c r="C179" s="1" t="s">
        <v>799</v>
      </c>
      <c r="D179" s="1" t="str">
        <f>IFERROR(VLOOKUP(A179,'MLR Data'!$A$2:$D$706,4,0),"")</f>
        <v/>
      </c>
      <c r="E179" s="3" t="s">
        <v>853</v>
      </c>
    </row>
    <row r="180" spans="1:5" x14ac:dyDescent="0.3">
      <c r="A180" t="str">
        <f t="shared" si="2"/>
        <v>WA SecureHorizons MedicareDirect</v>
      </c>
      <c r="B180" s="1" t="s">
        <v>824</v>
      </c>
      <c r="C180" s="1" t="s">
        <v>390</v>
      </c>
      <c r="D180" s="1" t="str">
        <f>IFERROR(VLOOKUP(A180,'MLR Data'!$A$2:$D$706,4,0),"")</f>
        <v/>
      </c>
      <c r="E180" s="5" t="s">
        <v>20</v>
      </c>
    </row>
    <row r="181" spans="1:5" x14ac:dyDescent="0.3">
      <c r="A181" t="str">
        <f t="shared" si="2"/>
        <v>LA Peoples Health</v>
      </c>
      <c r="B181" s="1" t="s">
        <v>561</v>
      </c>
      <c r="C181" s="1" t="s">
        <v>562</v>
      </c>
      <c r="D181" s="1" t="str">
        <f>IFERROR(VLOOKUP(A181,'MLR Data'!$A$2:$D$706,4,0),"")</f>
        <v/>
      </c>
      <c r="E181" s="3" t="s">
        <v>853</v>
      </c>
    </row>
    <row r="182" spans="1:5" x14ac:dyDescent="0.3">
      <c r="A182" t="str">
        <f t="shared" si="2"/>
        <v>MO Mercy Health Plans of Missouri, Inc.</v>
      </c>
      <c r="B182" s="1" t="s">
        <v>621</v>
      </c>
      <c r="C182" s="1" t="s">
        <v>547</v>
      </c>
      <c r="D182" s="1" t="str">
        <f>IFERROR(VLOOKUP(A182,'MLR Data'!$A$2:$D$706,4,0),"")</f>
        <v/>
      </c>
      <c r="E182" s="3" t="s">
        <v>853</v>
      </c>
    </row>
    <row r="183" spans="1:5" x14ac:dyDescent="0.3">
      <c r="A183" t="str">
        <f t="shared" si="2"/>
        <v>NC AMERICA'S 1ST CHOICE INSURANCE COMPANY OF NC, INC.</v>
      </c>
      <c r="B183" s="1" t="s">
        <v>629</v>
      </c>
      <c r="C183" s="1" t="s">
        <v>633</v>
      </c>
      <c r="D183" s="1" t="str">
        <f>IFERROR(VLOOKUP(A183,'MLR Data'!$A$2:$D$706,4,0),"")</f>
        <v/>
      </c>
      <c r="E183" s="3" t="s">
        <v>853</v>
      </c>
    </row>
    <row r="184" spans="1:5" x14ac:dyDescent="0.3">
      <c r="A184" t="str">
        <f t="shared" si="2"/>
        <v>NY Healthfirst Medicare Plan</v>
      </c>
      <c r="B184" s="1" t="s">
        <v>665</v>
      </c>
      <c r="C184" s="1" t="s">
        <v>685</v>
      </c>
      <c r="D184" s="1" t="str">
        <f>IFERROR(VLOOKUP(A184,'MLR Data'!$A$2:$D$706,4,0),"")</f>
        <v/>
      </c>
      <c r="E184" s="3" t="s">
        <v>853</v>
      </c>
    </row>
    <row r="185" spans="1:5" x14ac:dyDescent="0.3">
      <c r="A185" t="str">
        <f t="shared" si="2"/>
        <v>TX WellCare</v>
      </c>
      <c r="B185" s="1" t="s">
        <v>791</v>
      </c>
      <c r="C185" s="1" t="s">
        <v>381</v>
      </c>
      <c r="D185" s="1" t="str">
        <f>IFERROR(VLOOKUP(A185,'MLR Data'!$A$2:$D$706,4,0),"")</f>
        <v/>
      </c>
      <c r="E185" s="3" t="s">
        <v>853</v>
      </c>
    </row>
    <row r="186" spans="1:5" x14ac:dyDescent="0.3">
      <c r="A186" t="str">
        <f t="shared" si="2"/>
        <v>WI Universal American</v>
      </c>
      <c r="B186" s="1" t="s">
        <v>830</v>
      </c>
      <c r="C186" s="1" t="s">
        <v>384</v>
      </c>
      <c r="D186" s="1" t="str">
        <f>IFERROR(VLOOKUP(A186,'MLR Data'!$A$2:$D$706,4,0),"")</f>
        <v/>
      </c>
      <c r="E186" s="3" t="s">
        <v>853</v>
      </c>
    </row>
    <row r="187" spans="1:5" x14ac:dyDescent="0.3">
      <c r="A187" t="str">
        <f t="shared" si="2"/>
        <v>WV Mountain State Blue Cross Blue Shield</v>
      </c>
      <c r="B187" s="1" t="s">
        <v>839</v>
      </c>
      <c r="C187" s="1" t="s">
        <v>840</v>
      </c>
      <c r="D187" s="1" t="str">
        <f>IFERROR(VLOOKUP(A187,'MLR Data'!$A$2:$D$706,4,0),"")</f>
        <v/>
      </c>
      <c r="E187" s="3" t="s">
        <v>853</v>
      </c>
    </row>
    <row r="188" spans="1:5" x14ac:dyDescent="0.3">
      <c r="A188" t="str">
        <f t="shared" si="2"/>
        <v>CA Kaiser Permanente</v>
      </c>
      <c r="B188" s="1" t="s">
        <v>418</v>
      </c>
      <c r="C188" s="1" t="s">
        <v>423</v>
      </c>
      <c r="D188" s="1" t="str">
        <f>IFERROR(VLOOKUP(A188,'MLR Data'!$A$2:$D$706,4,0),"")</f>
        <v/>
      </c>
      <c r="E188" s="5" t="s">
        <v>48</v>
      </c>
    </row>
    <row r="189" spans="1:5" x14ac:dyDescent="0.3">
      <c r="A189" t="str">
        <f t="shared" si="2"/>
        <v>FL Humana Insurance Company</v>
      </c>
      <c r="B189" s="1" t="s">
        <v>482</v>
      </c>
      <c r="C189" s="1" t="s">
        <v>372</v>
      </c>
      <c r="D189" s="1" t="str">
        <f>IFERROR(VLOOKUP(A189,'MLR Data'!$A$2:$D$706,4,0),"")</f>
        <v/>
      </c>
      <c r="E189" s="5" t="s">
        <v>15</v>
      </c>
    </row>
    <row r="190" spans="1:5" x14ac:dyDescent="0.3">
      <c r="A190" t="str">
        <f t="shared" si="2"/>
        <v>OH Aetna Medicare</v>
      </c>
      <c r="B190" s="1" t="s">
        <v>710</v>
      </c>
      <c r="C190" s="1" t="s">
        <v>407</v>
      </c>
      <c r="D190" s="1" t="str">
        <f>IFERROR(VLOOKUP(A190,'MLR Data'!$A$2:$D$706,4,0),"")</f>
        <v/>
      </c>
      <c r="E190" s="5" t="s">
        <v>26</v>
      </c>
    </row>
    <row r="191" spans="1:5" x14ac:dyDescent="0.3">
      <c r="A191" t="str">
        <f t="shared" si="2"/>
        <v>OH MediGold</v>
      </c>
      <c r="B191" s="1" t="s">
        <v>710</v>
      </c>
      <c r="C191" s="1" t="s">
        <v>713</v>
      </c>
      <c r="D191" s="1" t="str">
        <f>IFERROR(VLOOKUP(A191,'MLR Data'!$A$2:$D$706,4,0),"")</f>
        <v/>
      </c>
      <c r="E191" s="3" t="s">
        <v>853</v>
      </c>
    </row>
    <row r="192" spans="1:5" x14ac:dyDescent="0.3">
      <c r="A192" t="str">
        <f t="shared" si="2"/>
        <v>AR Arkansas Blue Cross - Medi-Pak Advantage</v>
      </c>
      <c r="B192" s="1" t="s">
        <v>376</v>
      </c>
      <c r="C192" s="1" t="s">
        <v>377</v>
      </c>
      <c r="D192" s="1" t="str">
        <f>IFERROR(VLOOKUP(A192,'MLR Data'!$A$2:$D$706,4,0),"")</f>
        <v/>
      </c>
    </row>
    <row r="193" spans="1:5" x14ac:dyDescent="0.3">
      <c r="A193" t="str">
        <f t="shared" si="2"/>
        <v>CA CIGNA Medicare Access</v>
      </c>
      <c r="B193" s="1" t="s">
        <v>418</v>
      </c>
      <c r="C193" s="1" t="s">
        <v>429</v>
      </c>
      <c r="D193" s="1" t="str">
        <f>IFERROR(VLOOKUP(A193,'MLR Data'!$A$2:$D$706,4,0),"")</f>
        <v/>
      </c>
      <c r="E193" s="5" t="s">
        <v>9</v>
      </c>
    </row>
    <row r="194" spans="1:5" x14ac:dyDescent="0.3">
      <c r="A194" t="str">
        <f t="shared" ref="A194:A257" si="3">B194&amp;" "&amp;C194</f>
        <v>FL Humana AdvantageCare Plan, Inc.</v>
      </c>
      <c r="B194" s="1" t="s">
        <v>482</v>
      </c>
      <c r="C194" s="1" t="s">
        <v>508</v>
      </c>
      <c r="D194" s="1" t="str">
        <f>IFERROR(VLOOKUP(A194,'MLR Data'!$A$2:$D$706,4,0),"")</f>
        <v/>
      </c>
      <c r="E194" s="5" t="s">
        <v>85</v>
      </c>
    </row>
    <row r="195" spans="1:5" x14ac:dyDescent="0.3">
      <c r="A195" t="str">
        <f t="shared" si="3"/>
        <v>OR Humana Insurance Company</v>
      </c>
      <c r="B195" s="1" t="s">
        <v>728</v>
      </c>
      <c r="C195" s="1" t="s">
        <v>372</v>
      </c>
      <c r="D195" s="1" t="str">
        <f>IFERROR(VLOOKUP(A195,'MLR Data'!$A$2:$D$706,4,0),"")</f>
        <v/>
      </c>
      <c r="E195" s="5" t="s">
        <v>15</v>
      </c>
    </row>
    <row r="196" spans="1:5" x14ac:dyDescent="0.3">
      <c r="A196" t="str">
        <f t="shared" si="3"/>
        <v>TX Secure Horizons Medicare Advantage Plan</v>
      </c>
      <c r="B196" s="1" t="s">
        <v>791</v>
      </c>
      <c r="C196" s="1" t="s">
        <v>414</v>
      </c>
      <c r="D196" s="1" t="str">
        <f>IFERROR(VLOOKUP(A196,'MLR Data'!$A$2:$D$706,4,0),"")</f>
        <v/>
      </c>
      <c r="E196" s="3" t="s">
        <v>20</v>
      </c>
    </row>
    <row r="197" spans="1:5" x14ac:dyDescent="0.3">
      <c r="A197" t="str">
        <f t="shared" si="3"/>
        <v>TX Universal Health Care Insurance Company, Inc.</v>
      </c>
      <c r="B197" s="1" t="s">
        <v>791</v>
      </c>
      <c r="C197" s="1" t="s">
        <v>405</v>
      </c>
      <c r="D197" s="1" t="str">
        <f>IFERROR(VLOOKUP(A197,'MLR Data'!$A$2:$D$706,4,0),"")</f>
        <v/>
      </c>
      <c r="E197" s="3" t="s">
        <v>853</v>
      </c>
    </row>
    <row r="198" spans="1:5" x14ac:dyDescent="0.3">
      <c r="A198" t="str">
        <f t="shared" si="3"/>
        <v>TX UNIVERSAL HEALTH CARE INSURANCE COMPANY, INC.</v>
      </c>
      <c r="B198" s="1" t="s">
        <v>791</v>
      </c>
      <c r="C198" s="1" t="s">
        <v>394</v>
      </c>
      <c r="D198" s="1" t="str">
        <f>IFERROR(VLOOKUP(A198,'MLR Data'!$A$2:$D$706,4,0),"")</f>
        <v/>
      </c>
      <c r="E198" s="3" t="s">
        <v>853</v>
      </c>
    </row>
    <row r="199" spans="1:5" x14ac:dyDescent="0.3">
      <c r="A199" t="str">
        <f t="shared" si="3"/>
        <v>UT Regence BlueCross BlueShield of Utah</v>
      </c>
      <c r="B199" s="1" t="s">
        <v>813</v>
      </c>
      <c r="C199" s="1" t="s">
        <v>320</v>
      </c>
      <c r="D199" s="1" t="str">
        <f>IFERROR(VLOOKUP(A199,'MLR Data'!$A$2:$D$706,4,0),"")</f>
        <v>Regence BlueCross BlueShield of Utah</v>
      </c>
      <c r="E199" s="3" t="s">
        <v>320</v>
      </c>
    </row>
    <row r="200" spans="1:5" x14ac:dyDescent="0.3">
      <c r="A200" t="str">
        <f t="shared" si="3"/>
        <v>IN Universal American Corp.</v>
      </c>
      <c r="B200" s="1" t="s">
        <v>549</v>
      </c>
      <c r="C200" s="1" t="s">
        <v>383</v>
      </c>
      <c r="D200" s="1" t="str">
        <f>IFERROR(VLOOKUP(A200,'MLR Data'!$A$2:$D$706,4,0),"")</f>
        <v/>
      </c>
      <c r="E200" s="3" t="s">
        <v>853</v>
      </c>
    </row>
    <row r="201" spans="1:5" x14ac:dyDescent="0.3">
      <c r="A201" t="str">
        <f t="shared" si="3"/>
        <v>MD Cigna-HealthSpring</v>
      </c>
      <c r="B201" s="1" t="s">
        <v>586</v>
      </c>
      <c r="C201" s="1" t="s">
        <v>373</v>
      </c>
      <c r="D201" s="1" t="str">
        <f>IFERROR(VLOOKUP(A201,'MLR Data'!$A$2:$D$706,4,0),"")</f>
        <v/>
      </c>
      <c r="E201" s="3" t="s">
        <v>853</v>
      </c>
    </row>
    <row r="202" spans="1:5" x14ac:dyDescent="0.3">
      <c r="A202" t="str">
        <f t="shared" si="3"/>
        <v>ME Martin's Point Generations Advantage</v>
      </c>
      <c r="B202" s="1" t="s">
        <v>589</v>
      </c>
      <c r="C202" s="1" t="s">
        <v>590</v>
      </c>
      <c r="D202" s="1" t="str">
        <f>IFERROR(VLOOKUP(A202,'MLR Data'!$A$2:$D$706,4,0),"")</f>
        <v/>
      </c>
      <c r="E202" s="3" t="s">
        <v>853</v>
      </c>
    </row>
    <row r="203" spans="1:5" x14ac:dyDescent="0.3">
      <c r="A203" t="str">
        <f t="shared" si="3"/>
        <v>NC SecureHorizons MedicareDirect</v>
      </c>
      <c r="B203" s="1" t="s">
        <v>629</v>
      </c>
      <c r="C203" s="1" t="s">
        <v>390</v>
      </c>
      <c r="D203" s="1" t="str">
        <f>IFERROR(VLOOKUP(A203,'MLR Data'!$A$2:$D$706,4,0),"")</f>
        <v/>
      </c>
      <c r="E203" s="5" t="s">
        <v>20</v>
      </c>
    </row>
    <row r="204" spans="1:5" x14ac:dyDescent="0.3">
      <c r="A204" t="str">
        <f t="shared" si="3"/>
        <v>OH SummaCare Medicare Advantage Plans</v>
      </c>
      <c r="B204" s="1" t="s">
        <v>710</v>
      </c>
      <c r="C204" s="1" t="s">
        <v>718</v>
      </c>
      <c r="D204" s="1" t="str">
        <f>IFERROR(VLOOKUP(A204,'MLR Data'!$A$2:$D$706,4,0),"")</f>
        <v/>
      </c>
      <c r="E204" s="5" t="s">
        <v>248</v>
      </c>
    </row>
    <row r="205" spans="1:5" x14ac:dyDescent="0.3">
      <c r="A205" t="str">
        <f t="shared" si="3"/>
        <v>OR Kaiser Foundation Health Plan of the NW</v>
      </c>
      <c r="B205" s="1" t="s">
        <v>728</v>
      </c>
      <c r="C205" s="1" t="s">
        <v>729</v>
      </c>
      <c r="D205" s="1" t="str">
        <f>IFERROR(VLOOKUP(A205,'MLR Data'!$A$2:$D$706,4,0),"")</f>
        <v/>
      </c>
      <c r="E205" s="5" t="s">
        <v>257</v>
      </c>
    </row>
    <row r="206" spans="1:5" x14ac:dyDescent="0.3">
      <c r="A206" t="str">
        <f t="shared" si="3"/>
        <v>UT SecureHorizons by UnitedHealthcare</v>
      </c>
      <c r="B206" s="1" t="s">
        <v>813</v>
      </c>
      <c r="C206" s="1" t="s">
        <v>368</v>
      </c>
      <c r="D206" s="1" t="str">
        <f>IFERROR(VLOOKUP(A206,'MLR Data'!$A$2:$D$706,4,0),"")</f>
        <v/>
      </c>
      <c r="E206" s="5" t="s">
        <v>20</v>
      </c>
    </row>
    <row r="207" spans="1:5" x14ac:dyDescent="0.3">
      <c r="A207" t="str">
        <f t="shared" si="3"/>
        <v>FL PartnerCare Golden Advocate Plan</v>
      </c>
      <c r="B207" s="1" t="s">
        <v>482</v>
      </c>
      <c r="C207" s="1" t="s">
        <v>489</v>
      </c>
      <c r="D207" s="1" t="str">
        <f>IFERROR(VLOOKUP(A207,'MLR Data'!$A$2:$D$706,4,0),"")</f>
        <v/>
      </c>
      <c r="E207" s="3" t="s">
        <v>853</v>
      </c>
    </row>
    <row r="208" spans="1:5" x14ac:dyDescent="0.3">
      <c r="A208" t="str">
        <f t="shared" si="3"/>
        <v>FL Preferred Care Partners, Inc.</v>
      </c>
      <c r="B208" s="1" t="s">
        <v>482</v>
      </c>
      <c r="C208" s="1" t="s">
        <v>503</v>
      </c>
      <c r="D208" s="1" t="str">
        <f>IFERROR(VLOOKUP(A208,'MLR Data'!$A$2:$D$706,4,0),"")</f>
        <v/>
      </c>
      <c r="E208" s="3" t="s">
        <v>853</v>
      </c>
    </row>
    <row r="209" spans="1:5" x14ac:dyDescent="0.3">
      <c r="A209" t="str">
        <f t="shared" si="3"/>
        <v>GA Kaiser Permanente Senior Advantage</v>
      </c>
      <c r="B209" s="1" t="s">
        <v>523</v>
      </c>
      <c r="C209" s="1" t="s">
        <v>424</v>
      </c>
      <c r="D209" s="1" t="str">
        <f>IFERROR(VLOOKUP(A209,'MLR Data'!$A$2:$D$706,4,0),"")</f>
        <v/>
      </c>
      <c r="E209" s="5" t="s">
        <v>97</v>
      </c>
    </row>
    <row r="210" spans="1:5" x14ac:dyDescent="0.3">
      <c r="A210" t="str">
        <f t="shared" si="3"/>
        <v>IA SecureHorizons MedicareDirect</v>
      </c>
      <c r="B210" s="1" t="s">
        <v>536</v>
      </c>
      <c r="C210" s="1" t="s">
        <v>390</v>
      </c>
      <c r="D210" s="1" t="str">
        <f>IFERROR(VLOOKUP(A210,'MLR Data'!$A$2:$D$706,4,0),"")</f>
        <v/>
      </c>
      <c r="E210" s="5" t="s">
        <v>20</v>
      </c>
    </row>
    <row r="211" spans="1:5" x14ac:dyDescent="0.3">
      <c r="A211" t="str">
        <f t="shared" si="3"/>
        <v>IN Unicare Life &amp; Health Ins. Company</v>
      </c>
      <c r="B211" s="1" t="s">
        <v>549</v>
      </c>
      <c r="C211" s="1" t="s">
        <v>415</v>
      </c>
      <c r="D211" s="1" t="str">
        <f>IFERROR(VLOOKUP(A211,'MLR Data'!$A$2:$D$706,4,0),"")</f>
        <v/>
      </c>
      <c r="E211" s="5" t="s">
        <v>16</v>
      </c>
    </row>
    <row r="212" spans="1:5" x14ac:dyDescent="0.3">
      <c r="A212" t="str">
        <f t="shared" si="3"/>
        <v>MA Fallon Community Health Plan</v>
      </c>
      <c r="B212" s="1" t="s">
        <v>569</v>
      </c>
      <c r="C212" s="1" t="s">
        <v>152</v>
      </c>
      <c r="D212" s="1" t="str">
        <f>IFERROR(VLOOKUP(A212,'MLR Data'!$A$2:$D$706,4,0),"")</f>
        <v>Fallon Community Health Plan</v>
      </c>
      <c r="E212" s="3" t="s">
        <v>152</v>
      </c>
    </row>
    <row r="213" spans="1:5" x14ac:dyDescent="0.3">
      <c r="A213" t="str">
        <f t="shared" si="3"/>
        <v>MS Healthspring, Inc.</v>
      </c>
      <c r="B213" s="1" t="s">
        <v>626</v>
      </c>
      <c r="C213" s="1" t="s">
        <v>627</v>
      </c>
      <c r="D213" s="1" t="str">
        <f>IFERROR(VLOOKUP(A213,'MLR Data'!$A$2:$D$706,4,0),"")</f>
        <v/>
      </c>
      <c r="E213" s="5" t="s">
        <v>111</v>
      </c>
    </row>
    <row r="214" spans="1:5" x14ac:dyDescent="0.3">
      <c r="A214" t="str">
        <f t="shared" si="3"/>
        <v>MT New West Health Services</v>
      </c>
      <c r="B214" s="1" t="s">
        <v>628</v>
      </c>
      <c r="C214" s="1" t="s">
        <v>192</v>
      </c>
      <c r="D214" s="1" t="str">
        <f>IFERROR(VLOOKUP(A214,'MLR Data'!$A$2:$D$706,4,0),"")</f>
        <v>New West Health Services</v>
      </c>
      <c r="E214" s="3" t="s">
        <v>192</v>
      </c>
    </row>
    <row r="215" spans="1:5" x14ac:dyDescent="0.3">
      <c r="A215" t="str">
        <f t="shared" si="3"/>
        <v>NC Coventry Health Care</v>
      </c>
      <c r="B215" s="1" t="s">
        <v>629</v>
      </c>
      <c r="C215" s="1" t="s">
        <v>380</v>
      </c>
      <c r="D215" s="1" t="str">
        <f>IFERROR(VLOOKUP(A215,'MLR Data'!$A$2:$D$706,4,0),"")</f>
        <v/>
      </c>
      <c r="E215" s="5" t="s">
        <v>35</v>
      </c>
    </row>
    <row r="216" spans="1:5" x14ac:dyDescent="0.3">
      <c r="A216" t="str">
        <f t="shared" si="3"/>
        <v>NC Unicare Life &amp; Health Ins. Company</v>
      </c>
      <c r="B216" s="1" t="s">
        <v>629</v>
      </c>
      <c r="C216" s="1" t="s">
        <v>415</v>
      </c>
      <c r="D216" s="1" t="str">
        <f>IFERROR(VLOOKUP(A216,'MLR Data'!$A$2:$D$706,4,0),"")</f>
        <v/>
      </c>
      <c r="E216" s="3" t="s">
        <v>853</v>
      </c>
    </row>
    <row r="217" spans="1:5" x14ac:dyDescent="0.3">
      <c r="A217" t="str">
        <f t="shared" si="3"/>
        <v>NC Universal American Corp.</v>
      </c>
      <c r="B217" s="1" t="s">
        <v>629</v>
      </c>
      <c r="C217" s="1" t="s">
        <v>383</v>
      </c>
      <c r="D217" s="1" t="str">
        <f>IFERROR(VLOOKUP(A217,'MLR Data'!$A$2:$D$706,4,0),"")</f>
        <v/>
      </c>
      <c r="E217" s="3" t="s">
        <v>853</v>
      </c>
    </row>
    <row r="218" spans="1:5" x14ac:dyDescent="0.3">
      <c r="A218" t="str">
        <f t="shared" si="3"/>
        <v>NJ AARP MedicareComplete provided by SecureHorizons</v>
      </c>
      <c r="B218" s="1" t="s">
        <v>641</v>
      </c>
      <c r="C218" s="1" t="s">
        <v>468</v>
      </c>
      <c r="D218" s="1" t="str">
        <f>IFERROR(VLOOKUP(A218,'MLR Data'!$A$2:$D$706,4,0),"")</f>
        <v/>
      </c>
      <c r="E218" s="5" t="s">
        <v>20</v>
      </c>
    </row>
    <row r="219" spans="1:5" x14ac:dyDescent="0.3">
      <c r="A219" t="str">
        <f t="shared" si="3"/>
        <v>NY CDPHP Medicare Choices</v>
      </c>
      <c r="B219" s="1" t="s">
        <v>665</v>
      </c>
      <c r="C219" s="1" t="s">
        <v>666</v>
      </c>
      <c r="D219" s="1" t="str">
        <f>IFERROR(VLOOKUP(A219,'MLR Data'!$A$2:$D$706,4,0),"")</f>
        <v/>
      </c>
      <c r="E219" s="5" t="s">
        <v>220</v>
      </c>
    </row>
    <row r="220" spans="1:5" x14ac:dyDescent="0.3">
      <c r="A220" t="str">
        <f t="shared" si="3"/>
        <v>TX Aetna Medicare</v>
      </c>
      <c r="B220" s="1" t="s">
        <v>791</v>
      </c>
      <c r="C220" s="1" t="s">
        <v>407</v>
      </c>
      <c r="D220" s="1" t="str">
        <f>IFERROR(VLOOKUP(A220,'MLR Data'!$A$2:$D$706,4,0),"")</f>
        <v/>
      </c>
      <c r="E220" s="5" t="s">
        <v>308</v>
      </c>
    </row>
    <row r="221" spans="1:5" x14ac:dyDescent="0.3">
      <c r="A221" t="str">
        <f t="shared" si="3"/>
        <v>TX HealthSpring Medicare Advantage PPO</v>
      </c>
      <c r="B221" s="1" t="s">
        <v>791</v>
      </c>
      <c r="C221" s="1" t="s">
        <v>801</v>
      </c>
      <c r="D221" s="1" t="str">
        <f>IFERROR(VLOOKUP(A221,'MLR Data'!$A$2:$D$706,4,0),"")</f>
        <v/>
      </c>
      <c r="E221" s="3" t="s">
        <v>853</v>
      </c>
    </row>
    <row r="222" spans="1:5" x14ac:dyDescent="0.3">
      <c r="A222" t="str">
        <f t="shared" si="3"/>
        <v>WA SecureHorizons by UnitedHealthcare</v>
      </c>
      <c r="B222" s="1" t="s">
        <v>824</v>
      </c>
      <c r="C222" s="1" t="s">
        <v>368</v>
      </c>
      <c r="D222" s="1" t="str">
        <f>IFERROR(VLOOKUP(A222,'MLR Data'!$A$2:$D$706,4,0),"")</f>
        <v/>
      </c>
      <c r="E222" s="5" t="s">
        <v>20</v>
      </c>
    </row>
    <row r="223" spans="1:5" x14ac:dyDescent="0.3">
      <c r="A223" t="str">
        <f t="shared" si="3"/>
        <v>IL UnitedHealthcare Plan of the River Valley, Inc.</v>
      </c>
      <c r="B223" s="1" t="s">
        <v>543</v>
      </c>
      <c r="C223" s="1" t="s">
        <v>114</v>
      </c>
      <c r="D223" s="1" t="str">
        <f>IFERROR(VLOOKUP(A223,'MLR Data'!$A$2:$D$706,4,0),"")</f>
        <v>UnitedHealthcare Plan of the River Valley, Inc.</v>
      </c>
      <c r="E223" s="3" t="s">
        <v>114</v>
      </c>
    </row>
    <row r="224" spans="1:5" x14ac:dyDescent="0.3">
      <c r="A224" t="str">
        <f t="shared" si="3"/>
        <v>LA Arcadian Community Care</v>
      </c>
      <c r="B224" s="1" t="s">
        <v>561</v>
      </c>
      <c r="C224" s="1" t="s">
        <v>564</v>
      </c>
      <c r="D224" s="1" t="str">
        <f>IFERROR(VLOOKUP(A224,'MLR Data'!$A$2:$D$706,4,0),"")</f>
        <v/>
      </c>
      <c r="E224" s="5" t="s">
        <v>15</v>
      </c>
    </row>
    <row r="225" spans="1:5" x14ac:dyDescent="0.3">
      <c r="A225" t="str">
        <f t="shared" si="3"/>
        <v>MI Advantra® Freedom</v>
      </c>
      <c r="B225" s="1" t="s">
        <v>592</v>
      </c>
      <c r="C225" s="1" t="s">
        <v>387</v>
      </c>
      <c r="D225" s="1" t="str">
        <f>IFERROR(VLOOKUP(A225,'MLR Data'!$A$2:$D$706,4,0),"")</f>
        <v/>
      </c>
      <c r="E225" s="5" t="s">
        <v>4</v>
      </c>
    </row>
    <row r="226" spans="1:5" x14ac:dyDescent="0.3">
      <c r="A226" t="str">
        <f t="shared" si="3"/>
        <v>MI HAP Senior Plus</v>
      </c>
      <c r="B226" s="1" t="s">
        <v>592</v>
      </c>
      <c r="C226" s="1" t="s">
        <v>600</v>
      </c>
      <c r="D226" s="1" t="str">
        <f>IFERROR(VLOOKUP(A226,'MLR Data'!$A$2:$D$706,4,0),"")</f>
        <v/>
      </c>
      <c r="E226" s="5" t="s">
        <v>165</v>
      </c>
    </row>
    <row r="227" spans="1:5" x14ac:dyDescent="0.3">
      <c r="A227" t="str">
        <f t="shared" si="3"/>
        <v>MO Coventry Health Care of Missouri, Inc.</v>
      </c>
      <c r="B227" s="1" t="s">
        <v>621</v>
      </c>
      <c r="C227" s="1" t="s">
        <v>108</v>
      </c>
      <c r="D227" s="1" t="str">
        <f>IFERROR(VLOOKUP(A227,'MLR Data'!$A$2:$D$706,4,0),"")</f>
        <v>Coventry Health Care of Missouri, Inc.</v>
      </c>
      <c r="E227" s="3" t="s">
        <v>108</v>
      </c>
    </row>
    <row r="228" spans="1:5" x14ac:dyDescent="0.3">
      <c r="A228" t="str">
        <f t="shared" si="3"/>
        <v>NM Presbyterian MediCare PPO</v>
      </c>
      <c r="B228" s="1" t="s">
        <v>649</v>
      </c>
      <c r="C228" s="1" t="s">
        <v>651</v>
      </c>
      <c r="D228" s="1" t="str">
        <f>IFERROR(VLOOKUP(A228,'MLR Data'!$A$2:$D$706,4,0),"")</f>
        <v/>
      </c>
      <c r="E228" s="5" t="s">
        <v>213</v>
      </c>
    </row>
    <row r="229" spans="1:5" x14ac:dyDescent="0.3">
      <c r="A229" t="str">
        <f t="shared" si="3"/>
        <v>NY MVP HEALTH CARE</v>
      </c>
      <c r="B229" s="1" t="s">
        <v>665</v>
      </c>
      <c r="C229" s="1" t="s">
        <v>669</v>
      </c>
      <c r="D229" s="1" t="str">
        <f>IFERROR(VLOOKUP(A229,'MLR Data'!$A$2:$D$706,4,0),"")</f>
        <v/>
      </c>
      <c r="E229" s="5" t="s">
        <v>232</v>
      </c>
    </row>
    <row r="230" spans="1:5" x14ac:dyDescent="0.3">
      <c r="A230" t="str">
        <f t="shared" si="3"/>
        <v>OH Advantra® Freedom</v>
      </c>
      <c r="B230" s="1" t="s">
        <v>710</v>
      </c>
      <c r="C230" s="1" t="s">
        <v>387</v>
      </c>
      <c r="D230" s="1" t="str">
        <f>IFERROR(VLOOKUP(A230,'MLR Data'!$A$2:$D$706,4,0),"")</f>
        <v/>
      </c>
      <c r="E230" s="5" t="s">
        <v>26</v>
      </c>
    </row>
    <row r="231" spans="1:5" x14ac:dyDescent="0.3">
      <c r="A231" t="str">
        <f t="shared" si="3"/>
        <v>WY Humana Insurance Company</v>
      </c>
      <c r="B231" s="1" t="s">
        <v>842</v>
      </c>
      <c r="C231" s="1" t="s">
        <v>372</v>
      </c>
      <c r="D231" s="1" t="str">
        <f>IFERROR(VLOOKUP(A231,'MLR Data'!$A$2:$D$706,4,0),"")</f>
        <v/>
      </c>
      <c r="E231" s="5" t="s">
        <v>15</v>
      </c>
    </row>
    <row r="232" spans="1:5" x14ac:dyDescent="0.3">
      <c r="A232" t="str">
        <f t="shared" si="3"/>
        <v>CT UnitedHealthcare</v>
      </c>
      <c r="B232" s="1" t="s">
        <v>474</v>
      </c>
      <c r="C232" s="1" t="s">
        <v>478</v>
      </c>
      <c r="D232" s="1" t="str">
        <f>IFERROR(VLOOKUP(A232,'MLR Data'!$A$2:$D$706,4,0),"")</f>
        <v/>
      </c>
      <c r="E232" s="5" t="s">
        <v>20</v>
      </c>
    </row>
    <row r="233" spans="1:5" x14ac:dyDescent="0.3">
      <c r="A233" t="str">
        <f t="shared" si="3"/>
        <v>FL Quality Health Plans, Inc.</v>
      </c>
      <c r="B233" s="1" t="s">
        <v>482</v>
      </c>
      <c r="C233" s="1" t="s">
        <v>491</v>
      </c>
      <c r="D233" s="1" t="str">
        <f>IFERROR(VLOOKUP(A233,'MLR Data'!$A$2:$D$706,4,0),"")</f>
        <v/>
      </c>
      <c r="E233" s="3" t="s">
        <v>853</v>
      </c>
    </row>
    <row r="234" spans="1:5" x14ac:dyDescent="0.3">
      <c r="A234" t="str">
        <f t="shared" si="3"/>
        <v>GA Coventry Health Care, INC.</v>
      </c>
      <c r="B234" s="1" t="s">
        <v>523</v>
      </c>
      <c r="C234" s="1" t="s">
        <v>525</v>
      </c>
      <c r="D234" s="1" t="str">
        <f>IFERROR(VLOOKUP(A234,'MLR Data'!$A$2:$D$706,4,0),"")</f>
        <v/>
      </c>
      <c r="E234" s="5" t="s">
        <v>95</v>
      </c>
    </row>
    <row r="235" spans="1:5" x14ac:dyDescent="0.3">
      <c r="A235" t="str">
        <f t="shared" si="3"/>
        <v>IA Coventry Health and Life Insurance Company</v>
      </c>
      <c r="B235" s="1" t="s">
        <v>536</v>
      </c>
      <c r="C235" s="1" t="s">
        <v>537</v>
      </c>
      <c r="D235" s="1" t="str">
        <f>IFERROR(VLOOKUP(A235,'MLR Data'!$A$2:$D$706,4,0),"")</f>
        <v/>
      </c>
      <c r="E235" s="5" t="s">
        <v>35</v>
      </c>
    </row>
    <row r="236" spans="1:5" x14ac:dyDescent="0.3">
      <c r="A236" t="str">
        <f t="shared" si="3"/>
        <v>MO Group Health Plan, Inc.</v>
      </c>
      <c r="B236" s="1" t="s">
        <v>621</v>
      </c>
      <c r="C236" s="1" t="s">
        <v>179</v>
      </c>
      <c r="D236" s="1" t="str">
        <f>IFERROR(VLOOKUP(A236,'MLR Data'!$A$2:$D$706,4,0),"")</f>
        <v/>
      </c>
      <c r="E236" s="3" t="s">
        <v>853</v>
      </c>
    </row>
    <row r="237" spans="1:5" x14ac:dyDescent="0.3">
      <c r="A237" t="str">
        <f t="shared" si="3"/>
        <v>NC Southeast Community Care</v>
      </c>
      <c r="B237" s="1" t="s">
        <v>629</v>
      </c>
      <c r="C237" s="1" t="s">
        <v>524</v>
      </c>
      <c r="D237" s="1" t="str">
        <f>IFERROR(VLOOKUP(A237,'MLR Data'!$A$2:$D$706,4,0),"")</f>
        <v/>
      </c>
      <c r="E237" s="3" t="s">
        <v>853</v>
      </c>
    </row>
    <row r="238" spans="1:5" x14ac:dyDescent="0.3">
      <c r="A238" t="str">
        <f t="shared" si="3"/>
        <v>NY Senior Blue</v>
      </c>
      <c r="B238" s="1" t="s">
        <v>665</v>
      </c>
      <c r="C238" s="1" t="s">
        <v>676</v>
      </c>
      <c r="D238" s="1" t="str">
        <f>IFERROR(VLOOKUP(A238,'MLR Data'!$A$2:$D$706,4,0),"")</f>
        <v/>
      </c>
      <c r="E238" s="3" t="s">
        <v>853</v>
      </c>
    </row>
    <row r="239" spans="1:5" x14ac:dyDescent="0.3">
      <c r="A239" t="str">
        <f t="shared" si="3"/>
        <v>NY EmblemHealth Medicare HMO</v>
      </c>
      <c r="B239" s="1" t="s">
        <v>665</v>
      </c>
      <c r="C239" s="1" t="s">
        <v>697</v>
      </c>
      <c r="D239" s="1" t="str">
        <f>IFERROR(VLOOKUP(A239,'MLR Data'!$A$2:$D$706,4,0),"")</f>
        <v/>
      </c>
      <c r="E239" s="3" t="s">
        <v>853</v>
      </c>
    </row>
    <row r="240" spans="1:5" x14ac:dyDescent="0.3">
      <c r="A240" t="str">
        <f t="shared" si="3"/>
        <v>OH SecureHorizons MedicareDirect</v>
      </c>
      <c r="B240" s="1" t="s">
        <v>710</v>
      </c>
      <c r="C240" s="1" t="s">
        <v>390</v>
      </c>
      <c r="D240" s="1" t="str">
        <f>IFERROR(VLOOKUP(A240,'MLR Data'!$A$2:$D$706,4,0),"")</f>
        <v/>
      </c>
      <c r="E240" s="5" t="s">
        <v>20</v>
      </c>
    </row>
    <row r="241" spans="1:5" x14ac:dyDescent="0.3">
      <c r="A241" t="str">
        <f t="shared" si="3"/>
        <v>OR Providence Health Plans</v>
      </c>
      <c r="B241" s="1" t="s">
        <v>728</v>
      </c>
      <c r="C241" s="1" t="s">
        <v>733</v>
      </c>
      <c r="D241" s="1" t="str">
        <f>IFERROR(VLOOKUP(A241,'MLR Data'!$A$2:$D$706,4,0),"")</f>
        <v/>
      </c>
      <c r="E241" s="5" t="s">
        <v>263</v>
      </c>
    </row>
    <row r="242" spans="1:5" x14ac:dyDescent="0.3">
      <c r="A242" t="str">
        <f t="shared" si="3"/>
        <v>TX Texas Community Care</v>
      </c>
      <c r="B242" s="1" t="s">
        <v>791</v>
      </c>
      <c r="C242" s="1" t="s">
        <v>805</v>
      </c>
      <c r="D242" s="1" t="str">
        <f>IFERROR(VLOOKUP(A242,'MLR Data'!$A$2:$D$706,4,0),"")</f>
        <v/>
      </c>
      <c r="E242" s="3" t="s">
        <v>853</v>
      </c>
    </row>
    <row r="243" spans="1:5" x14ac:dyDescent="0.3">
      <c r="A243" t="str">
        <f t="shared" si="3"/>
        <v>VA WellCare</v>
      </c>
      <c r="B243" s="1" t="s">
        <v>819</v>
      </c>
      <c r="C243" s="1" t="s">
        <v>381</v>
      </c>
      <c r="D243" s="1" t="str">
        <f>IFERROR(VLOOKUP(A243,'MLR Data'!$A$2:$D$706,4,0),"")</f>
        <v/>
      </c>
      <c r="E243" s="3" t="s">
        <v>853</v>
      </c>
    </row>
    <row r="244" spans="1:5" x14ac:dyDescent="0.3">
      <c r="A244" t="str">
        <f t="shared" si="3"/>
        <v>WA AARP MedicareComplete from SecureHorizons</v>
      </c>
      <c r="B244" s="1" t="s">
        <v>824</v>
      </c>
      <c r="C244" s="1" t="s">
        <v>473</v>
      </c>
      <c r="D244" s="1" t="str">
        <f>IFERROR(VLOOKUP(A244,'MLR Data'!$A$2:$D$706,4,0),"")</f>
        <v/>
      </c>
      <c r="E244" s="5" t="s">
        <v>20</v>
      </c>
    </row>
    <row r="245" spans="1:5" x14ac:dyDescent="0.3">
      <c r="A245" t="str">
        <f t="shared" si="3"/>
        <v>WA Puget Sound Health Partners</v>
      </c>
      <c r="B245" s="1" t="s">
        <v>824</v>
      </c>
      <c r="C245" s="1" t="s">
        <v>829</v>
      </c>
      <c r="D245" s="1" t="str">
        <f>IFERROR(VLOOKUP(A245,'MLR Data'!$A$2:$D$706,4,0),"")</f>
        <v/>
      </c>
      <c r="E245" s="3" t="s">
        <v>853</v>
      </c>
    </row>
    <row r="246" spans="1:5" x14ac:dyDescent="0.3">
      <c r="A246" t="str">
        <f t="shared" si="3"/>
        <v>AR Windsor Medicare Extra</v>
      </c>
      <c r="B246" s="1" t="s">
        <v>376</v>
      </c>
      <c r="C246" s="1" t="s">
        <v>375</v>
      </c>
      <c r="D246" s="1" t="str">
        <f>IFERROR(VLOOKUP(A246,'MLR Data'!$A$2:$D$706,4,0),"")</f>
        <v/>
      </c>
    </row>
    <row r="247" spans="1:5" x14ac:dyDescent="0.3">
      <c r="A247" t="str">
        <f t="shared" si="3"/>
        <v>CO SecureHorizons by UnitedHealthcare</v>
      </c>
      <c r="B247" s="1" t="s">
        <v>464</v>
      </c>
      <c r="C247" s="1" t="s">
        <v>368</v>
      </c>
      <c r="D247" s="1" t="str">
        <f>IFERROR(VLOOKUP(A247,'MLR Data'!$A$2:$D$706,4,0),"")</f>
        <v/>
      </c>
      <c r="E247" s="5" t="s">
        <v>20</v>
      </c>
    </row>
    <row r="248" spans="1:5" x14ac:dyDescent="0.3">
      <c r="A248" t="str">
        <f t="shared" si="3"/>
        <v>IL Health Alliance Medical Plans</v>
      </c>
      <c r="B248" s="1" t="s">
        <v>543</v>
      </c>
      <c r="C248" s="1" t="s">
        <v>544</v>
      </c>
      <c r="D248" s="1" t="str">
        <f>IFERROR(VLOOKUP(A248,'MLR Data'!$A$2:$D$706,4,0),"")</f>
        <v/>
      </c>
      <c r="E248" s="5" t="s">
        <v>109</v>
      </c>
    </row>
    <row r="249" spans="1:5" x14ac:dyDescent="0.3">
      <c r="A249" t="str">
        <f t="shared" si="3"/>
        <v>KS Coventry Health And Life Ins. Company</v>
      </c>
      <c r="B249" s="1" t="s">
        <v>555</v>
      </c>
      <c r="C249" s="1" t="s">
        <v>556</v>
      </c>
      <c r="D249" s="1" t="str">
        <f>IFERROR(VLOOKUP(A249,'MLR Data'!$A$2:$D$706,4,0),"")</f>
        <v/>
      </c>
      <c r="E249" s="3" t="s">
        <v>853</v>
      </c>
    </row>
    <row r="250" spans="1:5" x14ac:dyDescent="0.3">
      <c r="A250" t="str">
        <f t="shared" si="3"/>
        <v>MD Kaiser Permanente Medicare Plus</v>
      </c>
      <c r="B250" s="1" t="s">
        <v>586</v>
      </c>
      <c r="C250" s="1" t="s">
        <v>587</v>
      </c>
      <c r="D250" s="1" t="str">
        <f>IFERROR(VLOOKUP(A250,'MLR Data'!$A$2:$D$706,4,0),"")</f>
        <v/>
      </c>
      <c r="E250" s="5" t="s">
        <v>71</v>
      </c>
    </row>
    <row r="251" spans="1:5" x14ac:dyDescent="0.3">
      <c r="A251" t="str">
        <f t="shared" si="3"/>
        <v>MO Humana Health Plan, Inc.</v>
      </c>
      <c r="B251" s="1" t="s">
        <v>621</v>
      </c>
      <c r="C251" s="1" t="s">
        <v>13</v>
      </c>
      <c r="D251" s="1" t="str">
        <f>IFERROR(VLOOKUP(A251,'MLR Data'!$A$2:$D$706,4,0),"")</f>
        <v>Humana Health Plan, Inc.</v>
      </c>
      <c r="E251" s="3" t="s">
        <v>13</v>
      </c>
    </row>
    <row r="252" spans="1:5" x14ac:dyDescent="0.3">
      <c r="A252" t="str">
        <f t="shared" si="3"/>
        <v>NY Elderplan, Inc.</v>
      </c>
      <c r="B252" s="1" t="s">
        <v>665</v>
      </c>
      <c r="C252" s="1" t="s">
        <v>684</v>
      </c>
      <c r="D252" s="1" t="str">
        <f>IFERROR(VLOOKUP(A252,'MLR Data'!$A$2:$D$706,4,0),"")</f>
        <v/>
      </c>
      <c r="E252" s="3" t="s">
        <v>853</v>
      </c>
    </row>
    <row r="253" spans="1:5" x14ac:dyDescent="0.3">
      <c r="A253" t="str">
        <f t="shared" si="3"/>
        <v>NY GHI Medicare Choice PPO</v>
      </c>
      <c r="B253" s="1" t="s">
        <v>665</v>
      </c>
      <c r="C253" s="1" t="s">
        <v>695</v>
      </c>
      <c r="D253" s="1" t="str">
        <f>IFERROR(VLOOKUP(A253,'MLR Data'!$A$2:$D$706,4,0),"")</f>
        <v/>
      </c>
      <c r="E253" s="5" t="s">
        <v>225</v>
      </c>
    </row>
    <row r="254" spans="1:5" x14ac:dyDescent="0.3">
      <c r="A254" t="str">
        <f t="shared" si="3"/>
        <v>TX Bravo Health</v>
      </c>
      <c r="B254" s="1" t="s">
        <v>791</v>
      </c>
      <c r="C254" s="1" t="s">
        <v>480</v>
      </c>
      <c r="D254" s="1" t="str">
        <f>IFERROR(VLOOKUP(A254,'MLR Data'!$A$2:$D$706,4,0),"")</f>
        <v/>
      </c>
      <c r="E254" s="3" t="s">
        <v>853</v>
      </c>
    </row>
    <row r="255" spans="1:5" x14ac:dyDescent="0.3">
      <c r="A255" t="str">
        <f t="shared" si="3"/>
        <v>TX Evercare® by UnitedHealthcare</v>
      </c>
      <c r="B255" s="1" t="s">
        <v>791</v>
      </c>
      <c r="C255" s="1" t="s">
        <v>396</v>
      </c>
      <c r="D255" s="1" t="str">
        <f>IFERROR(VLOOKUP(A255,'MLR Data'!$A$2:$D$706,4,0),"")</f>
        <v/>
      </c>
      <c r="E255" s="5" t="s">
        <v>20</v>
      </c>
    </row>
    <row r="256" spans="1:5" x14ac:dyDescent="0.3">
      <c r="A256" t="str">
        <f t="shared" si="3"/>
        <v>CA Anthem Blue Cross</v>
      </c>
      <c r="B256" s="1" t="s">
        <v>418</v>
      </c>
      <c r="C256" s="1" t="s">
        <v>422</v>
      </c>
      <c r="D256" s="1" t="str">
        <f>IFERROR(VLOOKUP(A256,'MLR Data'!$A$2:$D$706,4,0),"")</f>
        <v/>
      </c>
      <c r="E256" s="5" t="s">
        <v>42</v>
      </c>
    </row>
    <row r="257" spans="1:5" x14ac:dyDescent="0.3">
      <c r="A257" t="str">
        <f t="shared" si="3"/>
        <v>CA Care1st Medicare Advantage Plan</v>
      </c>
      <c r="B257" s="1" t="s">
        <v>418</v>
      </c>
      <c r="C257" s="1" t="s">
        <v>442</v>
      </c>
      <c r="D257" s="1" t="str">
        <f>IFERROR(VLOOKUP(A257,'MLR Data'!$A$2:$D$706,4,0),"")</f>
        <v/>
      </c>
      <c r="E257" s="3" t="s">
        <v>853</v>
      </c>
    </row>
    <row r="258" spans="1:5" x14ac:dyDescent="0.3">
      <c r="A258" t="str">
        <f t="shared" ref="A258:A321" si="4">B258&amp;" "&amp;C258</f>
        <v>ID Regence BlueShield Of Idaho</v>
      </c>
      <c r="B258" s="1" t="s">
        <v>539</v>
      </c>
      <c r="C258" s="1" t="s">
        <v>541</v>
      </c>
      <c r="D258" s="1" t="str">
        <f>IFERROR(VLOOKUP(A258,'MLR Data'!$A$2:$D$706,4,0),"")</f>
        <v/>
      </c>
      <c r="E258" s="5" t="s">
        <v>104</v>
      </c>
    </row>
    <row r="259" spans="1:5" x14ac:dyDescent="0.3">
      <c r="A259" t="str">
        <f t="shared" si="4"/>
        <v>IL Coventry Health Care of Illinois, Inc.</v>
      </c>
      <c r="B259" s="1" t="s">
        <v>543</v>
      </c>
      <c r="C259" s="1" t="s">
        <v>107</v>
      </c>
      <c r="D259" s="1" t="str">
        <f>IFERROR(VLOOKUP(A259,'MLR Data'!$A$2:$D$706,4,0),"")</f>
        <v>Coventry Health Care of Illinois, Inc.</v>
      </c>
      <c r="E259" s="3" t="s">
        <v>107</v>
      </c>
    </row>
    <row r="260" spans="1:5" x14ac:dyDescent="0.3">
      <c r="A260" t="str">
        <f t="shared" si="4"/>
        <v>KY Essence Healthcare</v>
      </c>
      <c r="B260" s="1" t="s">
        <v>559</v>
      </c>
      <c r="C260" s="1" t="s">
        <v>548</v>
      </c>
      <c r="D260" s="1" t="str">
        <f>IFERROR(VLOOKUP(A260,'MLR Data'!$A$2:$D$706,4,0),"")</f>
        <v/>
      </c>
      <c r="E260" s="3" t="s">
        <v>853</v>
      </c>
    </row>
    <row r="261" spans="1:5" x14ac:dyDescent="0.3">
      <c r="A261" t="str">
        <f t="shared" si="4"/>
        <v>KY Passport Advantage</v>
      </c>
      <c r="B261" s="1" t="s">
        <v>559</v>
      </c>
      <c r="C261" s="1" t="s">
        <v>560</v>
      </c>
      <c r="D261" s="1" t="str">
        <f>IFERROR(VLOOKUP(A261,'MLR Data'!$A$2:$D$706,4,0),"")</f>
        <v/>
      </c>
      <c r="E261" s="3" t="s">
        <v>853</v>
      </c>
    </row>
    <row r="262" spans="1:5" x14ac:dyDescent="0.3">
      <c r="A262" t="str">
        <f t="shared" si="4"/>
        <v>ME Arcadian Health Plan, Inc.</v>
      </c>
      <c r="B262" s="1" t="s">
        <v>589</v>
      </c>
      <c r="C262" s="1" t="s">
        <v>462</v>
      </c>
      <c r="D262" s="1" t="str">
        <f>IFERROR(VLOOKUP(A262,'MLR Data'!$A$2:$D$706,4,0),"")</f>
        <v/>
      </c>
      <c r="E262" s="5" t="s">
        <v>15</v>
      </c>
    </row>
    <row r="263" spans="1:5" x14ac:dyDescent="0.3">
      <c r="A263" t="str">
        <f t="shared" si="4"/>
        <v>MO Coventry Health Care</v>
      </c>
      <c r="B263" s="1" t="s">
        <v>621</v>
      </c>
      <c r="C263" s="1" t="s">
        <v>380</v>
      </c>
      <c r="D263" s="1" t="str">
        <f>IFERROR(VLOOKUP(A263,'MLR Data'!$A$2:$D$706,4,0),"")</f>
        <v/>
      </c>
      <c r="E263" s="5" t="s">
        <v>108</v>
      </c>
    </row>
    <row r="264" spans="1:5" x14ac:dyDescent="0.3">
      <c r="A264" t="str">
        <f t="shared" si="4"/>
        <v>NY VNSNY CHOICE Medicare</v>
      </c>
      <c r="B264" s="1" t="s">
        <v>665</v>
      </c>
      <c r="C264" s="1" t="s">
        <v>686</v>
      </c>
      <c r="D264" s="1" t="str">
        <f>IFERROR(VLOOKUP(A264,'MLR Data'!$A$2:$D$706,4,0),"")</f>
        <v/>
      </c>
      <c r="E264" s="3" t="s">
        <v>853</v>
      </c>
    </row>
    <row r="265" spans="1:5" x14ac:dyDescent="0.3">
      <c r="A265" t="str">
        <f t="shared" si="4"/>
        <v>OH Kaiser Foundation Health Plan of Ohio</v>
      </c>
      <c r="B265" s="1" t="s">
        <v>710</v>
      </c>
      <c r="C265" s="1" t="s">
        <v>246</v>
      </c>
      <c r="D265" s="1" t="str">
        <f>IFERROR(VLOOKUP(A265,'MLR Data'!$A$2:$D$706,4,0),"")</f>
        <v>Kaiser Foundation Health Plan of Ohio</v>
      </c>
      <c r="E265" s="3" t="s">
        <v>246</v>
      </c>
    </row>
    <row r="266" spans="1:5" x14ac:dyDescent="0.3">
      <c r="A266" t="str">
        <f t="shared" si="4"/>
        <v>OH WellCare</v>
      </c>
      <c r="B266" s="1" t="s">
        <v>710</v>
      </c>
      <c r="C266" s="1" t="s">
        <v>381</v>
      </c>
      <c r="D266" s="1" t="str">
        <f>IFERROR(VLOOKUP(A266,'MLR Data'!$A$2:$D$706,4,0),"")</f>
        <v/>
      </c>
      <c r="E266" s="3" t="s">
        <v>853</v>
      </c>
    </row>
    <row r="267" spans="1:5" x14ac:dyDescent="0.3">
      <c r="A267" t="str">
        <f t="shared" si="4"/>
        <v>WI Advantra® Freedom</v>
      </c>
      <c r="B267" s="1" t="s">
        <v>830</v>
      </c>
      <c r="C267" s="1" t="s">
        <v>387</v>
      </c>
      <c r="D267" s="1" t="str">
        <f>IFERROR(VLOOKUP(A267,'MLR Data'!$A$2:$D$706,4,0),"")</f>
        <v/>
      </c>
      <c r="E267" s="5" t="s">
        <v>4</v>
      </c>
    </row>
    <row r="268" spans="1:5" x14ac:dyDescent="0.3">
      <c r="A268" t="str">
        <f t="shared" si="4"/>
        <v>AZ SecureHorizons by UnitedHealthcare</v>
      </c>
      <c r="B268" s="1" t="s">
        <v>388</v>
      </c>
      <c r="C268" s="1" t="s">
        <v>368</v>
      </c>
      <c r="D268" s="1" t="str">
        <f>IFERROR(VLOOKUP(A268,'MLR Data'!$A$2:$D$706,4,0),"")</f>
        <v/>
      </c>
      <c r="E268" s="5" t="s">
        <v>20</v>
      </c>
    </row>
    <row r="269" spans="1:5" x14ac:dyDescent="0.3">
      <c r="A269" t="str">
        <f t="shared" si="4"/>
        <v>FL Optimum HealthCare, Inc.</v>
      </c>
      <c r="B269" s="1" t="s">
        <v>482</v>
      </c>
      <c r="C269" s="1" t="s">
        <v>513</v>
      </c>
      <c r="D269" s="1" t="str">
        <f>IFERROR(VLOOKUP(A269,'MLR Data'!$A$2:$D$706,4,0),"")</f>
        <v/>
      </c>
      <c r="E269" s="3" t="s">
        <v>853</v>
      </c>
    </row>
    <row r="270" spans="1:5" x14ac:dyDescent="0.3">
      <c r="A270" t="str">
        <f t="shared" si="4"/>
        <v>HI Humana Insurance Company</v>
      </c>
      <c r="B270" s="1" t="s">
        <v>529</v>
      </c>
      <c r="C270" s="1" t="s">
        <v>372</v>
      </c>
      <c r="D270" s="1" t="str">
        <f>IFERROR(VLOOKUP(A270,'MLR Data'!$A$2:$D$706,4,0),"")</f>
        <v/>
      </c>
      <c r="E270" s="5" t="s">
        <v>15</v>
      </c>
    </row>
    <row r="271" spans="1:5" x14ac:dyDescent="0.3">
      <c r="A271" t="str">
        <f t="shared" si="4"/>
        <v>IN ADVANTAGE Health Solutions, Inc.</v>
      </c>
      <c r="B271" s="1" t="s">
        <v>549</v>
      </c>
      <c r="C271" s="1" t="s">
        <v>550</v>
      </c>
      <c r="D271" s="1" t="str">
        <f>IFERROR(VLOOKUP(A271,'MLR Data'!$A$2:$D$706,4,0),"")</f>
        <v/>
      </c>
      <c r="E271" s="5" t="s">
        <v>117</v>
      </c>
    </row>
    <row r="272" spans="1:5" x14ac:dyDescent="0.3">
      <c r="A272" t="str">
        <f t="shared" si="4"/>
        <v>IN Advantage Health Solutions, Inc.</v>
      </c>
      <c r="B272" s="1" t="s">
        <v>549</v>
      </c>
      <c r="C272" s="1" t="s">
        <v>553</v>
      </c>
      <c r="D272" s="1" t="str">
        <f>IFERROR(VLOOKUP(A272,'MLR Data'!$A$2:$D$706,4,0),"")</f>
        <v/>
      </c>
      <c r="E272" s="5" t="s">
        <v>117</v>
      </c>
    </row>
    <row r="273" spans="1:5" x14ac:dyDescent="0.3">
      <c r="A273" t="str">
        <f t="shared" si="4"/>
        <v>LA Humana Health Benefit Plan of LA, Inc.</v>
      </c>
      <c r="B273" s="1" t="s">
        <v>561</v>
      </c>
      <c r="C273" s="1" t="s">
        <v>566</v>
      </c>
      <c r="D273" s="1" t="str">
        <f>IFERROR(VLOOKUP(A273,'MLR Data'!$A$2:$D$706,4,0),"")</f>
        <v/>
      </c>
      <c r="E273" s="5" t="s">
        <v>136</v>
      </c>
    </row>
    <row r="274" spans="1:5" x14ac:dyDescent="0.3">
      <c r="A274" t="str">
        <f t="shared" si="4"/>
        <v>MA HARVARD PILGRIM HEALTH CARE INC.</v>
      </c>
      <c r="B274" s="1" t="s">
        <v>569</v>
      </c>
      <c r="C274" s="1" t="s">
        <v>572</v>
      </c>
      <c r="D274" s="1" t="str">
        <f>IFERROR(VLOOKUP(A274,'MLR Data'!$A$2:$D$706,4,0),"")</f>
        <v/>
      </c>
      <c r="E274" s="3" t="s">
        <v>853</v>
      </c>
    </row>
    <row r="275" spans="1:5" x14ac:dyDescent="0.3">
      <c r="A275" t="str">
        <f t="shared" si="4"/>
        <v>MA Evercare® Health Plans</v>
      </c>
      <c r="B275" s="1" t="s">
        <v>569</v>
      </c>
      <c r="C275" s="1" t="s">
        <v>408</v>
      </c>
      <c r="D275" s="1" t="str">
        <f>IFERROR(VLOOKUP(A275,'MLR Data'!$A$2:$D$706,4,0),"")</f>
        <v/>
      </c>
      <c r="E275" s="5" t="s">
        <v>20</v>
      </c>
    </row>
    <row r="276" spans="1:5" x14ac:dyDescent="0.3">
      <c r="A276" t="str">
        <f t="shared" si="4"/>
        <v>MO Essence Healthcare</v>
      </c>
      <c r="B276" s="1" t="s">
        <v>621</v>
      </c>
      <c r="C276" s="1" t="s">
        <v>548</v>
      </c>
      <c r="D276" s="1" t="str">
        <f>IFERROR(VLOOKUP(A276,'MLR Data'!$A$2:$D$706,4,0),"")</f>
        <v/>
      </c>
      <c r="E276" s="3" t="s">
        <v>853</v>
      </c>
    </row>
    <row r="277" spans="1:5" x14ac:dyDescent="0.3">
      <c r="A277" t="str">
        <f t="shared" si="4"/>
        <v>NM SecureHorizons by UnitedHealthcare</v>
      </c>
      <c r="B277" s="1" t="s">
        <v>649</v>
      </c>
      <c r="C277" s="1" t="s">
        <v>368</v>
      </c>
      <c r="D277" s="1" t="str">
        <f>IFERROR(VLOOKUP(A277,'MLR Data'!$A$2:$D$706,4,0),"")</f>
        <v/>
      </c>
      <c r="E277" s="5" t="s">
        <v>20</v>
      </c>
    </row>
    <row r="278" spans="1:5" x14ac:dyDescent="0.3">
      <c r="A278" t="str">
        <f t="shared" si="4"/>
        <v>OK SecureHorizons by UnitedHealthcare</v>
      </c>
      <c r="B278" s="1" t="s">
        <v>722</v>
      </c>
      <c r="C278" s="1" t="s">
        <v>368</v>
      </c>
      <c r="D278" s="1" t="str">
        <f>IFERROR(VLOOKUP(A278,'MLR Data'!$A$2:$D$706,4,0),"")</f>
        <v/>
      </c>
      <c r="E278" s="5" t="s">
        <v>20</v>
      </c>
    </row>
    <row r="279" spans="1:5" x14ac:dyDescent="0.3">
      <c r="A279" t="str">
        <f t="shared" si="4"/>
        <v>OR FamilyCare Health Plans, Inc.</v>
      </c>
      <c r="B279" s="1" t="s">
        <v>728</v>
      </c>
      <c r="C279" s="1" t="s">
        <v>731</v>
      </c>
      <c r="D279" s="1" t="str">
        <f>IFERROR(VLOOKUP(A279,'MLR Data'!$A$2:$D$706,4,0),"")</f>
        <v/>
      </c>
      <c r="E279" s="3" t="s">
        <v>853</v>
      </c>
    </row>
    <row r="280" spans="1:5" x14ac:dyDescent="0.3">
      <c r="A280" t="str">
        <f t="shared" si="4"/>
        <v>PA SecureHorizons by UnitedHealthcare</v>
      </c>
      <c r="B280" s="1" t="s">
        <v>744</v>
      </c>
      <c r="C280" s="1" t="s">
        <v>368</v>
      </c>
      <c r="D280" s="1" t="str">
        <f>IFERROR(VLOOKUP(A280,'MLR Data'!$A$2:$D$706,4,0),"")</f>
        <v/>
      </c>
      <c r="E280" s="5" t="s">
        <v>20</v>
      </c>
    </row>
    <row r="281" spans="1:5" x14ac:dyDescent="0.3">
      <c r="A281" t="str">
        <f t="shared" si="4"/>
        <v>PA Universal American</v>
      </c>
      <c r="B281" s="1" t="s">
        <v>744</v>
      </c>
      <c r="C281" s="1" t="s">
        <v>384</v>
      </c>
      <c r="D281" s="1" t="str">
        <f>IFERROR(VLOOKUP(A281,'MLR Data'!$A$2:$D$706,4,0),"")</f>
        <v/>
      </c>
      <c r="E281" s="3" t="s">
        <v>853</v>
      </c>
    </row>
    <row r="282" spans="1:5" x14ac:dyDescent="0.3">
      <c r="A282" t="str">
        <f t="shared" si="4"/>
        <v>PA Cigna-HealthSpring</v>
      </c>
      <c r="B282" s="1" t="s">
        <v>744</v>
      </c>
      <c r="C282" s="1" t="s">
        <v>373</v>
      </c>
      <c r="D282" s="1" t="str">
        <f>IFERROR(VLOOKUP(A282,'MLR Data'!$A$2:$D$706,4,0),"")</f>
        <v/>
      </c>
      <c r="E282" s="3" t="s">
        <v>853</v>
      </c>
    </row>
    <row r="283" spans="1:5" x14ac:dyDescent="0.3">
      <c r="A283" t="str">
        <f t="shared" si="4"/>
        <v>VA Kaiser Permanente Medicare Plus</v>
      </c>
      <c r="B283" s="1" t="s">
        <v>819</v>
      </c>
      <c r="C283" s="1" t="s">
        <v>587</v>
      </c>
      <c r="D283" s="1" t="str">
        <f>IFERROR(VLOOKUP(A283,'MLR Data'!$A$2:$D$706,4,0),"")</f>
        <v/>
      </c>
      <c r="E283" s="5" t="s">
        <v>71</v>
      </c>
    </row>
    <row r="284" spans="1:5" x14ac:dyDescent="0.3">
      <c r="A284" t="str">
        <f t="shared" si="4"/>
        <v>WA Evercare® by UnitedHealthcare</v>
      </c>
      <c r="B284" s="1" t="s">
        <v>824</v>
      </c>
      <c r="C284" s="1" t="s">
        <v>396</v>
      </c>
      <c r="D284" s="1" t="str">
        <f>IFERROR(VLOOKUP(A284,'MLR Data'!$A$2:$D$706,4,0),"")</f>
        <v/>
      </c>
      <c r="E284" s="5" t="s">
        <v>20</v>
      </c>
    </row>
    <row r="285" spans="1:5" x14ac:dyDescent="0.3">
      <c r="A285" t="str">
        <f t="shared" si="4"/>
        <v>AR Arkansas Blue Cross  -  Medi-Pak Advantage</v>
      </c>
      <c r="B285" s="1" t="s">
        <v>376</v>
      </c>
      <c r="C285" s="1" t="s">
        <v>378</v>
      </c>
      <c r="D285" s="1" t="str">
        <f>IFERROR(VLOOKUP(A285,'MLR Data'!$A$2:$D$706,4,0),"")</f>
        <v/>
      </c>
    </row>
    <row r="286" spans="1:5" x14ac:dyDescent="0.3">
      <c r="A286" t="str">
        <f t="shared" si="4"/>
        <v>AR SecureHorizons by UnitedHealthcare</v>
      </c>
      <c r="B286" s="1" t="s">
        <v>376</v>
      </c>
      <c r="C286" s="1" t="s">
        <v>368</v>
      </c>
      <c r="D286" s="1" t="str">
        <f>IFERROR(VLOOKUP(A286,'MLR Data'!$A$2:$D$706,4,0),"")</f>
        <v/>
      </c>
      <c r="E286" s="5" t="s">
        <v>20</v>
      </c>
    </row>
    <row r="287" spans="1:5" x14ac:dyDescent="0.3">
      <c r="A287" t="str">
        <f t="shared" si="4"/>
        <v>AZ UnitedHealthcare Community Plan</v>
      </c>
      <c r="B287" s="1" t="s">
        <v>388</v>
      </c>
      <c r="C287" s="1" t="s">
        <v>389</v>
      </c>
      <c r="D287" s="1" t="str">
        <f>IFERROR(VLOOKUP(A287,'MLR Data'!$A$2:$D$706,4,0),"")</f>
        <v/>
      </c>
      <c r="E287" s="5" t="s">
        <v>33</v>
      </c>
    </row>
    <row r="288" spans="1:5" x14ac:dyDescent="0.3">
      <c r="A288" t="str">
        <f t="shared" si="4"/>
        <v>AZ UNIVERSAL HEALTH CARE INSURANCE COMPANY, INC.</v>
      </c>
      <c r="B288" s="1" t="s">
        <v>388</v>
      </c>
      <c r="C288" s="1" t="s">
        <v>394</v>
      </c>
      <c r="D288" s="1" t="str">
        <f>IFERROR(VLOOKUP(A288,'MLR Data'!$A$2:$D$706,4,0),"")</f>
        <v/>
      </c>
      <c r="E288" s="5" t="s">
        <v>853</v>
      </c>
    </row>
    <row r="289" spans="1:5" x14ac:dyDescent="0.3">
      <c r="A289" t="str">
        <f t="shared" si="4"/>
        <v>AZ Universal Health Care Insurance Company, Inc.</v>
      </c>
      <c r="B289" s="1" t="s">
        <v>388</v>
      </c>
      <c r="C289" s="1" t="s">
        <v>405</v>
      </c>
      <c r="D289" s="1" t="str">
        <f>IFERROR(VLOOKUP(A289,'MLR Data'!$A$2:$D$706,4,0),"")</f>
        <v/>
      </c>
      <c r="E289" s="5" t="s">
        <v>853</v>
      </c>
    </row>
    <row r="290" spans="1:5" x14ac:dyDescent="0.3">
      <c r="A290" t="str">
        <f t="shared" si="4"/>
        <v>CA Blue Cross Of California</v>
      </c>
      <c r="B290" s="1" t="s">
        <v>418</v>
      </c>
      <c r="C290" s="1" t="s">
        <v>428</v>
      </c>
      <c r="D290" s="1" t="str">
        <f>IFERROR(VLOOKUP(A290,'MLR Data'!$A$2:$D$706,4,0),"")</f>
        <v>Blue Cross of California</v>
      </c>
      <c r="E290" s="3" t="s">
        <v>42</v>
      </c>
    </row>
    <row r="291" spans="1:5" x14ac:dyDescent="0.3">
      <c r="A291" t="str">
        <f t="shared" si="4"/>
        <v>CA Blue Cross of California</v>
      </c>
      <c r="B291" s="1" t="s">
        <v>418</v>
      </c>
      <c r="C291" s="1" t="s">
        <v>42</v>
      </c>
      <c r="D291" s="1" t="str">
        <f>IFERROR(VLOOKUP(A291,'MLR Data'!$A$2:$D$706,4,0),"")</f>
        <v>Blue Cross of California</v>
      </c>
      <c r="E291" s="3" t="s">
        <v>42</v>
      </c>
    </row>
    <row r="292" spans="1:5" x14ac:dyDescent="0.3">
      <c r="A292" t="str">
        <f t="shared" si="4"/>
        <v>IN Anthem Blue Cross and Blue Shield</v>
      </c>
      <c r="B292" s="1" t="s">
        <v>549</v>
      </c>
      <c r="C292" s="1" t="s">
        <v>467</v>
      </c>
      <c r="D292" s="1" t="str">
        <f>IFERROR(VLOOKUP(A292,'MLR Data'!$A$2:$D$706,4,0),"")</f>
        <v/>
      </c>
      <c r="E292" s="5" t="s">
        <v>118</v>
      </c>
    </row>
    <row r="293" spans="1:5" x14ac:dyDescent="0.3">
      <c r="A293" t="str">
        <f t="shared" si="4"/>
        <v>IN Clarian Health Plans, Inc. - Clarian Medicare</v>
      </c>
      <c r="B293" s="1" t="s">
        <v>549</v>
      </c>
      <c r="C293" s="1" t="s">
        <v>551</v>
      </c>
      <c r="D293" s="1" t="str">
        <f>IFERROR(VLOOKUP(A293,'MLR Data'!$A$2:$D$706,4,0),"")</f>
        <v/>
      </c>
      <c r="E293" s="3" t="s">
        <v>853</v>
      </c>
    </row>
    <row r="294" spans="1:5" x14ac:dyDescent="0.3">
      <c r="A294" t="str">
        <f t="shared" si="4"/>
        <v>LA Vantage Health Plan, Inc.</v>
      </c>
      <c r="B294" s="1" t="s">
        <v>561</v>
      </c>
      <c r="C294" s="1" t="s">
        <v>139</v>
      </c>
      <c r="D294" s="1" t="str">
        <f>IFERROR(VLOOKUP(A294,'MLR Data'!$A$2:$D$706,4,0),"")</f>
        <v>Vantage Health Plan, Inc.</v>
      </c>
      <c r="E294" s="3" t="s">
        <v>139</v>
      </c>
    </row>
    <row r="295" spans="1:5" x14ac:dyDescent="0.3">
      <c r="A295" t="str">
        <f t="shared" si="4"/>
        <v>MO Advantra® Freedom</v>
      </c>
      <c r="B295" s="1" t="s">
        <v>621</v>
      </c>
      <c r="C295" s="1" t="s">
        <v>387</v>
      </c>
      <c r="D295" s="1" t="str">
        <f>IFERROR(VLOOKUP(A295,'MLR Data'!$A$2:$D$706,4,0),"")</f>
        <v/>
      </c>
      <c r="E295" s="5" t="s">
        <v>4</v>
      </c>
    </row>
    <row r="296" spans="1:5" x14ac:dyDescent="0.3">
      <c r="A296" t="str">
        <f t="shared" si="4"/>
        <v>MO Premier Health Insurance Company, Inc.</v>
      </c>
      <c r="B296" s="1" t="s">
        <v>621</v>
      </c>
      <c r="C296" s="1" t="s">
        <v>623</v>
      </c>
      <c r="D296" s="1" t="str">
        <f>IFERROR(VLOOKUP(A296,'MLR Data'!$A$2:$D$706,4,0),"")</f>
        <v/>
      </c>
      <c r="E296" s="3" t="s">
        <v>853</v>
      </c>
    </row>
    <row r="297" spans="1:5" x14ac:dyDescent="0.3">
      <c r="A297" t="str">
        <f t="shared" si="4"/>
        <v>MO Anthem Blue Cross and Blue Shield</v>
      </c>
      <c r="B297" s="1" t="s">
        <v>621</v>
      </c>
      <c r="C297" s="1" t="s">
        <v>467</v>
      </c>
      <c r="D297" s="1" t="str">
        <f>IFERROR(VLOOKUP(A297,'MLR Data'!$A$2:$D$706,4,0),"")</f>
        <v/>
      </c>
      <c r="E297" s="3" t="s">
        <v>853</v>
      </c>
    </row>
    <row r="298" spans="1:5" x14ac:dyDescent="0.3">
      <c r="A298" t="str">
        <f t="shared" si="4"/>
        <v>NJ Healthfirst NJ Medicare Plan</v>
      </c>
      <c r="B298" s="1" t="s">
        <v>641</v>
      </c>
      <c r="C298" s="1" t="s">
        <v>645</v>
      </c>
      <c r="D298" s="1" t="str">
        <f>IFERROR(VLOOKUP(A298,'MLR Data'!$A$2:$D$706,4,0),"")</f>
        <v/>
      </c>
      <c r="E298" s="3" t="s">
        <v>853</v>
      </c>
    </row>
    <row r="299" spans="1:5" x14ac:dyDescent="0.3">
      <c r="A299" t="str">
        <f t="shared" si="4"/>
        <v>NY Traditional Blue Medicare PPO</v>
      </c>
      <c r="B299" s="1" t="s">
        <v>665</v>
      </c>
      <c r="C299" s="1" t="s">
        <v>673</v>
      </c>
      <c r="D299" s="1" t="str">
        <f>IFERROR(VLOOKUP(A299,'MLR Data'!$A$2:$D$706,4,0),"")</f>
        <v/>
      </c>
      <c r="E299" s="3" t="s">
        <v>853</v>
      </c>
    </row>
    <row r="300" spans="1:5" x14ac:dyDescent="0.3">
      <c r="A300" t="str">
        <f t="shared" si="4"/>
        <v>OK CommunityCare Senior Health Plan (HMO)</v>
      </c>
      <c r="B300" s="1" t="s">
        <v>722</v>
      </c>
      <c r="C300" s="1" t="s">
        <v>723</v>
      </c>
      <c r="D300" s="1" t="str">
        <f>IFERROR(VLOOKUP(A300,'MLR Data'!$A$2:$D$706,4,0),"")</f>
        <v/>
      </c>
      <c r="E300" s="5" t="s">
        <v>251</v>
      </c>
    </row>
    <row r="301" spans="1:5" x14ac:dyDescent="0.3">
      <c r="A301" t="str">
        <f t="shared" si="4"/>
        <v>OR ATRIO MyAdvantage</v>
      </c>
      <c r="B301" s="1" t="s">
        <v>728</v>
      </c>
      <c r="C301" s="1" t="s">
        <v>736</v>
      </c>
      <c r="D301" s="1" t="str">
        <f>IFERROR(VLOOKUP(A301,'MLR Data'!$A$2:$D$706,4,0),"")</f>
        <v/>
      </c>
      <c r="E301" s="3" t="s">
        <v>853</v>
      </c>
    </row>
    <row r="302" spans="1:5" x14ac:dyDescent="0.3">
      <c r="A302" t="str">
        <f t="shared" si="4"/>
        <v>SC AMERICA'S 1ST CHOICE HEALTH PLANS, INC.</v>
      </c>
      <c r="B302" s="1" t="s">
        <v>775</v>
      </c>
      <c r="C302" s="1" t="s">
        <v>777</v>
      </c>
      <c r="D302" s="1" t="str">
        <f>IFERROR(VLOOKUP(A302,'MLR Data'!$A$2:$D$706,4,0),"")</f>
        <v/>
      </c>
      <c r="E302" s="3" t="s">
        <v>853</v>
      </c>
    </row>
    <row r="303" spans="1:5" x14ac:dyDescent="0.3">
      <c r="A303" t="str">
        <f t="shared" si="4"/>
        <v>SC America's 1st Choice Health Plans, Inc.</v>
      </c>
      <c r="B303" s="1" t="s">
        <v>775</v>
      </c>
      <c r="C303" s="1" t="s">
        <v>780</v>
      </c>
      <c r="D303" s="1" t="str">
        <f>IFERROR(VLOOKUP(A303,'MLR Data'!$A$2:$D$706,4,0),"")</f>
        <v/>
      </c>
      <c r="E303" s="3" t="s">
        <v>853</v>
      </c>
    </row>
    <row r="304" spans="1:5" x14ac:dyDescent="0.3">
      <c r="A304" t="str">
        <f t="shared" si="4"/>
        <v>TX Arcadian Health Plan, Inc.</v>
      </c>
      <c r="B304" s="1" t="s">
        <v>791</v>
      </c>
      <c r="C304" s="1" t="s">
        <v>462</v>
      </c>
      <c r="D304" s="1" t="str">
        <f>IFERROR(VLOOKUP(A304,'MLR Data'!$A$2:$D$706,4,0),"")</f>
        <v/>
      </c>
      <c r="E304" s="5" t="s">
        <v>15</v>
      </c>
    </row>
    <row r="305" spans="1:5" x14ac:dyDescent="0.3">
      <c r="A305" t="str">
        <f t="shared" si="4"/>
        <v>TX Universal American Corp.</v>
      </c>
      <c r="B305" s="1" t="s">
        <v>791</v>
      </c>
      <c r="C305" s="1" t="s">
        <v>383</v>
      </c>
      <c r="D305" s="1" t="str">
        <f>IFERROR(VLOOKUP(A305,'MLR Data'!$A$2:$D$706,4,0),"")</f>
        <v/>
      </c>
      <c r="E305" s="3" t="s">
        <v>853</v>
      </c>
    </row>
    <row r="306" spans="1:5" x14ac:dyDescent="0.3">
      <c r="A306" t="str">
        <f t="shared" si="4"/>
        <v>TX SecureHorizons MedicareDirect</v>
      </c>
      <c r="B306" s="1" t="s">
        <v>791</v>
      </c>
      <c r="C306" s="1" t="s">
        <v>390</v>
      </c>
      <c r="D306" s="1" t="str">
        <f>IFERROR(VLOOKUP(A306,'MLR Data'!$A$2:$D$706,4,0),"")</f>
        <v/>
      </c>
      <c r="E306" s="5" t="s">
        <v>20</v>
      </c>
    </row>
    <row r="307" spans="1:5" x14ac:dyDescent="0.3">
      <c r="A307" t="str">
        <f t="shared" si="4"/>
        <v>VA Advantra® Freedom</v>
      </c>
      <c r="B307" s="1" t="s">
        <v>819</v>
      </c>
      <c r="C307" s="1" t="s">
        <v>387</v>
      </c>
      <c r="D307" s="1" t="str">
        <f>IFERROR(VLOOKUP(A307,'MLR Data'!$A$2:$D$706,4,0),"")</f>
        <v/>
      </c>
      <c r="E307" s="5" t="s">
        <v>26</v>
      </c>
    </row>
    <row r="308" spans="1:5" x14ac:dyDescent="0.3">
      <c r="A308" t="str">
        <f t="shared" si="4"/>
        <v>VA Humana Health Plan, Inc.</v>
      </c>
      <c r="B308" s="1" t="s">
        <v>819</v>
      </c>
      <c r="C308" s="1" t="s">
        <v>13</v>
      </c>
      <c r="D308" s="1" t="str">
        <f>IFERROR(VLOOKUP(A308,'MLR Data'!$A$2:$D$706,4,0),"")</f>
        <v>Humana Health Plan, Inc.</v>
      </c>
      <c r="E308" s="3" t="s">
        <v>13</v>
      </c>
    </row>
    <row r="309" spans="1:5" x14ac:dyDescent="0.3">
      <c r="A309" t="str">
        <f t="shared" si="4"/>
        <v>WA Essence Healthcare</v>
      </c>
      <c r="B309" s="1" t="s">
        <v>824</v>
      </c>
      <c r="C309" s="1" t="s">
        <v>548</v>
      </c>
      <c r="D309" s="1" t="str">
        <f>IFERROR(VLOOKUP(A309,'MLR Data'!$A$2:$D$706,4,0),"")</f>
        <v/>
      </c>
      <c r="E309" s="3" t="s">
        <v>853</v>
      </c>
    </row>
    <row r="310" spans="1:5" x14ac:dyDescent="0.3">
      <c r="A310" t="str">
        <f t="shared" si="4"/>
        <v>WI Anthem Blue Cross and Blue Shield</v>
      </c>
      <c r="B310" s="1" t="s">
        <v>830</v>
      </c>
      <c r="C310" s="1" t="s">
        <v>467</v>
      </c>
      <c r="D310" s="1" t="str">
        <f>IFERROR(VLOOKUP(A310,'MLR Data'!$A$2:$D$706,4,0),"")</f>
        <v/>
      </c>
      <c r="E310" s="5" t="s">
        <v>344</v>
      </c>
    </row>
    <row r="311" spans="1:5" x14ac:dyDescent="0.3">
      <c r="A311" t="str">
        <f t="shared" si="4"/>
        <v>FL America's Health Choice</v>
      </c>
      <c r="B311" s="1" t="s">
        <v>482</v>
      </c>
      <c r="C311" s="1" t="s">
        <v>485</v>
      </c>
      <c r="D311" s="1" t="str">
        <f>IFERROR(VLOOKUP(A311,'MLR Data'!$A$2:$D$706,4,0),"")</f>
        <v/>
      </c>
      <c r="E311" s="3" t="s">
        <v>853</v>
      </c>
    </row>
    <row r="312" spans="1:5" x14ac:dyDescent="0.3">
      <c r="A312" t="str">
        <f t="shared" si="4"/>
        <v>GA Southeast Community Care</v>
      </c>
      <c r="B312" s="1" t="s">
        <v>523</v>
      </c>
      <c r="C312" s="1" t="s">
        <v>524</v>
      </c>
      <c r="D312" s="1" t="str">
        <f>IFERROR(VLOOKUP(A312,'MLR Data'!$A$2:$D$706,4,0),"")</f>
        <v/>
      </c>
      <c r="E312" s="3" t="s">
        <v>853</v>
      </c>
    </row>
    <row r="313" spans="1:5" x14ac:dyDescent="0.3">
      <c r="A313" t="str">
        <f t="shared" si="4"/>
        <v>ID Sterling Life Insurance Company</v>
      </c>
      <c r="B313" s="1" t="s">
        <v>539</v>
      </c>
      <c r="C313" s="1" t="s">
        <v>391</v>
      </c>
      <c r="D313" s="1" t="str">
        <f>IFERROR(VLOOKUP(A313,'MLR Data'!$A$2:$D$706,4,0),"")</f>
        <v/>
      </c>
      <c r="E313" s="3" t="s">
        <v>853</v>
      </c>
    </row>
    <row r="314" spans="1:5" x14ac:dyDescent="0.3">
      <c r="A314" t="str">
        <f t="shared" si="4"/>
        <v>IL Humana Health Plan, Inc.</v>
      </c>
      <c r="B314" s="1" t="s">
        <v>543</v>
      </c>
      <c r="C314" s="1" t="s">
        <v>13</v>
      </c>
      <c r="D314" s="1" t="str">
        <f>IFERROR(VLOOKUP(A314,'MLR Data'!$A$2:$D$706,4,0),"")</f>
        <v>Humana Health Plan, Inc.</v>
      </c>
      <c r="E314" s="3" t="s">
        <v>13</v>
      </c>
    </row>
    <row r="315" spans="1:5" x14ac:dyDescent="0.3">
      <c r="A315" t="str">
        <f t="shared" si="4"/>
        <v>MA Blue Cross And Blue Shield Of Massachusetts, Inc.</v>
      </c>
      <c r="B315" s="1" t="s">
        <v>569</v>
      </c>
      <c r="C315" s="1" t="s">
        <v>571</v>
      </c>
      <c r="D315" s="1" t="str">
        <f>IFERROR(VLOOKUP(A315,'MLR Data'!$A$2:$D$706,4,0),"")</f>
        <v>Blue Cross and Blue Shield of Massachusetts, Inc.</v>
      </c>
      <c r="E315" s="3" t="s">
        <v>150</v>
      </c>
    </row>
    <row r="316" spans="1:5" x14ac:dyDescent="0.3">
      <c r="A316" t="str">
        <f t="shared" si="4"/>
        <v>MA Blue Cross and Blue Shield of Massachusetts, Inc.</v>
      </c>
      <c r="B316" s="1" t="s">
        <v>569</v>
      </c>
      <c r="C316" s="1" t="s">
        <v>150</v>
      </c>
      <c r="D316" s="1" t="str">
        <f>IFERROR(VLOOKUP(A316,'MLR Data'!$A$2:$D$706,4,0),"")</f>
        <v>Blue Cross and Blue Shield of Massachusetts, Inc.</v>
      </c>
      <c r="E316" s="3" t="s">
        <v>150</v>
      </c>
    </row>
    <row r="317" spans="1:5" x14ac:dyDescent="0.3">
      <c r="A317" t="str">
        <f t="shared" si="4"/>
        <v>MA CIGNA Medicare Access</v>
      </c>
      <c r="B317" s="1" t="s">
        <v>569</v>
      </c>
      <c r="C317" s="1" t="s">
        <v>429</v>
      </c>
      <c r="D317" s="1" t="str">
        <f>IFERROR(VLOOKUP(A317,'MLR Data'!$A$2:$D$706,4,0),"")</f>
        <v/>
      </c>
      <c r="E317" s="5" t="s">
        <v>9</v>
      </c>
    </row>
    <row r="318" spans="1:5" x14ac:dyDescent="0.3">
      <c r="A318" t="str">
        <f t="shared" si="4"/>
        <v>MI Alliance Medicare PPO</v>
      </c>
      <c r="B318" s="1" t="s">
        <v>592</v>
      </c>
      <c r="C318" s="1" t="s">
        <v>598</v>
      </c>
      <c r="D318" s="1" t="str">
        <f>IFERROR(VLOOKUP(A318,'MLR Data'!$A$2:$D$706,4,0),"")</f>
        <v/>
      </c>
      <c r="E318" s="5" t="s">
        <v>159</v>
      </c>
    </row>
    <row r="319" spans="1:5" x14ac:dyDescent="0.3">
      <c r="A319" t="str">
        <f t="shared" si="4"/>
        <v>NJ Bravo Health</v>
      </c>
      <c r="B319" s="1" t="s">
        <v>641</v>
      </c>
      <c r="C319" s="1" t="s">
        <v>480</v>
      </c>
      <c r="D319" s="1" t="str">
        <f>IFERROR(VLOOKUP(A319,'MLR Data'!$A$2:$D$706,4,0),"")</f>
        <v/>
      </c>
      <c r="E319" s="3" t="s">
        <v>853</v>
      </c>
    </row>
    <row r="320" spans="1:5" x14ac:dyDescent="0.3">
      <c r="A320" t="str">
        <f t="shared" si="4"/>
        <v>NY MVP GoldAnywhere</v>
      </c>
      <c r="B320" s="1" t="s">
        <v>665</v>
      </c>
      <c r="C320" s="1" t="s">
        <v>668</v>
      </c>
      <c r="D320" s="1" t="str">
        <f>IFERROR(VLOOKUP(A320,'MLR Data'!$A$2:$D$706,4,0),"")</f>
        <v/>
      </c>
      <c r="E320" s="5" t="s">
        <v>232</v>
      </c>
    </row>
    <row r="321" spans="1:5" x14ac:dyDescent="0.3">
      <c r="A321" t="str">
        <f t="shared" si="4"/>
        <v>NY Humana Insurance Company of New York</v>
      </c>
      <c r="B321" s="1" t="s">
        <v>665</v>
      </c>
      <c r="C321" s="1" t="s">
        <v>698</v>
      </c>
      <c r="D321" s="1" t="str">
        <f>IFERROR(VLOOKUP(A321,'MLR Data'!$A$2:$D$706,4,0),"")</f>
        <v/>
      </c>
      <c r="E321" s="3" t="s">
        <v>853</v>
      </c>
    </row>
    <row r="322" spans="1:5" x14ac:dyDescent="0.3">
      <c r="A322" t="str">
        <f t="shared" ref="A322:A385" si="5">B322&amp;" "&amp;C322</f>
        <v>OH The Health Plan</v>
      </c>
      <c r="B322" s="1" t="s">
        <v>710</v>
      </c>
      <c r="C322" s="1" t="s">
        <v>711</v>
      </c>
      <c r="D322" s="1" t="str">
        <f>IFERROR(VLOOKUP(A322,'MLR Data'!$A$2:$D$706,4,0),"")</f>
        <v/>
      </c>
      <c r="E322" s="3" t="s">
        <v>853</v>
      </c>
    </row>
    <row r="323" spans="1:5" x14ac:dyDescent="0.3">
      <c r="A323" t="str">
        <f t="shared" si="5"/>
        <v>OK Universal American Corp.</v>
      </c>
      <c r="B323" s="1" t="s">
        <v>722</v>
      </c>
      <c r="C323" s="1" t="s">
        <v>383</v>
      </c>
      <c r="D323" s="1" t="str">
        <f>IFERROR(VLOOKUP(A323,'MLR Data'!$A$2:$D$706,4,0),"")</f>
        <v/>
      </c>
      <c r="E323" s="3" t="s">
        <v>853</v>
      </c>
    </row>
    <row r="324" spans="1:5" x14ac:dyDescent="0.3">
      <c r="A324" t="str">
        <f t="shared" si="5"/>
        <v>OR CareSource</v>
      </c>
      <c r="B324" s="1" t="s">
        <v>728</v>
      </c>
      <c r="C324" s="1" t="s">
        <v>716</v>
      </c>
      <c r="D324" s="1" t="str">
        <f>IFERROR(VLOOKUP(A324,'MLR Data'!$A$2:$D$706,4,0),"")</f>
        <v/>
      </c>
      <c r="E324" s="3" t="s">
        <v>853</v>
      </c>
    </row>
    <row r="325" spans="1:5" x14ac:dyDescent="0.3">
      <c r="A325" t="str">
        <f t="shared" si="5"/>
        <v>OR Clear Choice Health Plans</v>
      </c>
      <c r="B325" s="1" t="s">
        <v>728</v>
      </c>
      <c r="C325" s="1" t="s">
        <v>737</v>
      </c>
      <c r="D325" s="1" t="str">
        <f>IFERROR(VLOOKUP(A325,'MLR Data'!$A$2:$D$706,4,0),"")</f>
        <v/>
      </c>
      <c r="E325" s="3" t="s">
        <v>853</v>
      </c>
    </row>
    <row r="326" spans="1:5" x14ac:dyDescent="0.3">
      <c r="A326" t="str">
        <f t="shared" si="5"/>
        <v>PA Evercare® by UnitedHealthcare</v>
      </c>
      <c r="B326" s="1" t="s">
        <v>744</v>
      </c>
      <c r="C326" s="1" t="s">
        <v>396</v>
      </c>
      <c r="D326" s="1" t="str">
        <f>IFERROR(VLOOKUP(A326,'MLR Data'!$A$2:$D$706,4,0),"")</f>
        <v/>
      </c>
      <c r="E326" s="5" t="s">
        <v>20</v>
      </c>
    </row>
    <row r="327" spans="1:5" x14ac:dyDescent="0.3">
      <c r="A327" t="str">
        <f t="shared" si="5"/>
        <v>TX Humana Health Plan of Texas, Inc.</v>
      </c>
      <c r="B327" s="1" t="s">
        <v>791</v>
      </c>
      <c r="C327" s="1" t="s">
        <v>310</v>
      </c>
      <c r="D327" s="1" t="str">
        <f>IFERROR(VLOOKUP(A327,'MLR Data'!$A$2:$D$706,4,0),"")</f>
        <v>Humana Health Plan of Texas, Inc.</v>
      </c>
      <c r="E327" s="3" t="s">
        <v>310</v>
      </c>
    </row>
    <row r="328" spans="1:5" x14ac:dyDescent="0.3">
      <c r="A328" t="str">
        <f t="shared" si="5"/>
        <v>TX HUMANA HEALTH PLAN OF TEXAS, INC.</v>
      </c>
      <c r="B328" s="1" t="s">
        <v>791</v>
      </c>
      <c r="C328" s="1" t="s">
        <v>795</v>
      </c>
      <c r="D328" s="1" t="str">
        <f>IFERROR(VLOOKUP(A328,'MLR Data'!$A$2:$D$706,4,0),"")</f>
        <v>Humana Health Plan of Texas, Inc.</v>
      </c>
      <c r="E328" s="3" t="s">
        <v>310</v>
      </c>
    </row>
    <row r="329" spans="1:5" x14ac:dyDescent="0.3">
      <c r="A329" t="str">
        <f t="shared" si="5"/>
        <v>TX Universal American</v>
      </c>
      <c r="B329" s="1" t="s">
        <v>791</v>
      </c>
      <c r="C329" s="1" t="s">
        <v>384</v>
      </c>
      <c r="D329" s="1" t="str">
        <f>IFERROR(VLOOKUP(A329,'MLR Data'!$A$2:$D$706,4,0),"")</f>
        <v/>
      </c>
      <c r="E329" s="3" t="s">
        <v>853</v>
      </c>
    </row>
    <row r="330" spans="1:5" x14ac:dyDescent="0.3">
      <c r="A330" t="str">
        <f t="shared" si="5"/>
        <v>UT Altius Advantra</v>
      </c>
      <c r="B330" s="1" t="s">
        <v>813</v>
      </c>
      <c r="C330" s="1" t="s">
        <v>815</v>
      </c>
      <c r="D330" s="1" t="str">
        <f>IFERROR(VLOOKUP(A330,'MLR Data'!$A$2:$D$706,4,0),"")</f>
        <v/>
      </c>
      <c r="E330" s="5" t="s">
        <v>318</v>
      </c>
    </row>
    <row r="331" spans="1:5" x14ac:dyDescent="0.3">
      <c r="A331" t="str">
        <f t="shared" si="5"/>
        <v>UT Molina Healthcare of Utah</v>
      </c>
      <c r="B331" s="1" t="s">
        <v>813</v>
      </c>
      <c r="C331" s="1" t="s">
        <v>816</v>
      </c>
      <c r="D331" s="1" t="str">
        <f>IFERROR(VLOOKUP(A331,'MLR Data'!$A$2:$D$706,4,0),"")</f>
        <v/>
      </c>
      <c r="E331" s="3" t="s">
        <v>853</v>
      </c>
    </row>
    <row r="332" spans="1:5" x14ac:dyDescent="0.3">
      <c r="A332" t="str">
        <f t="shared" si="5"/>
        <v>CA Humana Health Plan of California, Inc.</v>
      </c>
      <c r="B332" s="1" t="s">
        <v>418</v>
      </c>
      <c r="C332" s="1" t="s">
        <v>430</v>
      </c>
      <c r="D332" s="1" t="str">
        <f>IFERROR(VLOOKUP(A332,'MLR Data'!$A$2:$D$706,4,0),"")</f>
        <v/>
      </c>
      <c r="E332" s="5" t="s">
        <v>15</v>
      </c>
    </row>
    <row r="333" spans="1:5" x14ac:dyDescent="0.3">
      <c r="A333" t="str">
        <f t="shared" si="5"/>
        <v>CA Inter Valley Health Plan</v>
      </c>
      <c r="B333" s="1" t="s">
        <v>418</v>
      </c>
      <c r="C333" s="1" t="s">
        <v>436</v>
      </c>
      <c r="D333" s="1" t="str">
        <f>IFERROR(VLOOKUP(A333,'MLR Data'!$A$2:$D$706,4,0),"")</f>
        <v/>
      </c>
      <c r="E333" s="3" t="s">
        <v>853</v>
      </c>
    </row>
    <row r="334" spans="1:5" x14ac:dyDescent="0.3">
      <c r="A334" t="str">
        <f t="shared" si="5"/>
        <v>CT Evercare® by UnitedHealthcare</v>
      </c>
      <c r="B334" s="1" t="s">
        <v>474</v>
      </c>
      <c r="C334" s="1" t="s">
        <v>396</v>
      </c>
      <c r="E334" s="5" t="s">
        <v>20</v>
      </c>
    </row>
    <row r="335" spans="1:5" x14ac:dyDescent="0.3">
      <c r="A335" t="str">
        <f t="shared" si="5"/>
        <v>HI HMSA's 65C Plus</v>
      </c>
      <c r="B335" s="1" t="s">
        <v>529</v>
      </c>
      <c r="C335" s="1" t="s">
        <v>532</v>
      </c>
      <c r="D335" s="1" t="str">
        <f>IFERROR(VLOOKUP(A335,'MLR Data'!$A$2:$D$706,4,0),"")</f>
        <v/>
      </c>
      <c r="E335" s="5" t="s">
        <v>100</v>
      </c>
    </row>
    <row r="336" spans="1:5" x14ac:dyDescent="0.3">
      <c r="A336" t="str">
        <f t="shared" si="5"/>
        <v>IL Aetna Medicare</v>
      </c>
      <c r="B336" s="1" t="s">
        <v>543</v>
      </c>
      <c r="C336" s="1" t="s">
        <v>407</v>
      </c>
      <c r="D336" s="1" t="str">
        <f>IFERROR(VLOOKUP(A336,'MLR Data'!$A$2:$D$706,4,0),"")</f>
        <v/>
      </c>
      <c r="E336" s="5" t="s">
        <v>4</v>
      </c>
    </row>
    <row r="337" spans="1:5" x14ac:dyDescent="0.3">
      <c r="A337" t="str">
        <f t="shared" si="5"/>
        <v>IL WellCare</v>
      </c>
      <c r="B337" s="1" t="s">
        <v>543</v>
      </c>
      <c r="C337" s="1" t="s">
        <v>381</v>
      </c>
      <c r="D337" s="1" t="str">
        <f>IFERROR(VLOOKUP(A337,'MLR Data'!$A$2:$D$706,4,0),"")</f>
        <v/>
      </c>
      <c r="E337" s="3" t="s">
        <v>853</v>
      </c>
    </row>
    <row r="338" spans="1:5" x14ac:dyDescent="0.3">
      <c r="A338" t="str">
        <f t="shared" si="5"/>
        <v>IL HealthSpring, Inc.</v>
      </c>
      <c r="B338" s="1" t="s">
        <v>543</v>
      </c>
      <c r="C338" s="1" t="s">
        <v>12</v>
      </c>
      <c r="D338" s="1" t="str">
        <f>IFERROR(VLOOKUP(A338,'MLR Data'!$A$2:$D$706,4,0),"")</f>
        <v/>
      </c>
      <c r="E338" s="5" t="s">
        <v>111</v>
      </c>
    </row>
    <row r="339" spans="1:5" x14ac:dyDescent="0.3">
      <c r="A339" t="str">
        <f t="shared" si="5"/>
        <v>IL Group Health Plan, Inc.</v>
      </c>
      <c r="B339" s="1" t="s">
        <v>543</v>
      </c>
      <c r="C339" s="1" t="s">
        <v>179</v>
      </c>
      <c r="D339" s="1" t="str">
        <f>IFERROR(VLOOKUP(A339,'MLR Data'!$A$2:$D$706,4,0),"")</f>
        <v/>
      </c>
      <c r="E339" s="3" t="s">
        <v>853</v>
      </c>
    </row>
    <row r="340" spans="1:5" x14ac:dyDescent="0.3">
      <c r="A340" t="str">
        <f t="shared" si="5"/>
        <v>MA Evercare® by UnitedHealthcare</v>
      </c>
      <c r="B340" s="1" t="s">
        <v>569</v>
      </c>
      <c r="C340" s="1" t="s">
        <v>396</v>
      </c>
      <c r="D340" s="1" t="str">
        <f>IFERROR(VLOOKUP(A340,'MLR Data'!$A$2:$D$706,4,0),"")</f>
        <v/>
      </c>
      <c r="E340" s="5" t="s">
        <v>20</v>
      </c>
    </row>
    <row r="341" spans="1:5" x14ac:dyDescent="0.3">
      <c r="A341" t="str">
        <f t="shared" si="5"/>
        <v>NH SecureHorizons by UnitedHealthcare</v>
      </c>
      <c r="B341" s="1" t="s">
        <v>640</v>
      </c>
      <c r="C341" s="1" t="s">
        <v>368</v>
      </c>
      <c r="D341" s="1" t="s">
        <v>20</v>
      </c>
      <c r="E341" s="5" t="s">
        <v>20</v>
      </c>
    </row>
    <row r="342" spans="1:5" x14ac:dyDescent="0.3">
      <c r="A342" t="str">
        <f t="shared" si="5"/>
        <v>NJ WellCare</v>
      </c>
      <c r="B342" s="1" t="s">
        <v>641</v>
      </c>
      <c r="C342" s="1" t="s">
        <v>381</v>
      </c>
      <c r="D342" s="1" t="str">
        <f>IFERROR(VLOOKUP(A342,'MLR Data'!$A$2:$D$706,4,0),"")</f>
        <v/>
      </c>
      <c r="E342" s="3" t="s">
        <v>853</v>
      </c>
    </row>
    <row r="343" spans="1:5" x14ac:dyDescent="0.3">
      <c r="A343" t="str">
        <f t="shared" si="5"/>
        <v>NM Lovelace Medicare Plan provided by BCBSNM</v>
      </c>
      <c r="B343" s="1" t="s">
        <v>649</v>
      </c>
      <c r="C343" s="1" t="s">
        <v>654</v>
      </c>
      <c r="D343" s="1" t="str">
        <f>IFERROR(VLOOKUP(A343,'MLR Data'!$A$2:$D$706,4,0),"")</f>
        <v/>
      </c>
      <c r="E343" s="5" t="s">
        <v>211</v>
      </c>
    </row>
    <row r="344" spans="1:5" x14ac:dyDescent="0.3">
      <c r="A344" t="str">
        <f t="shared" si="5"/>
        <v>NY Liberty Health Advantage</v>
      </c>
      <c r="B344" s="1" t="s">
        <v>665</v>
      </c>
      <c r="C344" s="1" t="s">
        <v>683</v>
      </c>
      <c r="D344" s="1" t="str">
        <f>IFERROR(VLOOKUP(A344,'MLR Data'!$A$2:$D$706,4,0),"")</f>
        <v/>
      </c>
      <c r="E344" s="3" t="s">
        <v>853</v>
      </c>
    </row>
    <row r="345" spans="1:5" x14ac:dyDescent="0.3">
      <c r="A345" t="str">
        <f t="shared" si="5"/>
        <v>NY Preferred Care Gold</v>
      </c>
      <c r="B345" s="1" t="s">
        <v>665</v>
      </c>
      <c r="C345" s="1" t="s">
        <v>700</v>
      </c>
      <c r="D345" s="1" t="str">
        <f>IFERROR(VLOOKUP(A345,'MLR Data'!$A$2:$D$706,4,0),"")</f>
        <v/>
      </c>
      <c r="E345" s="3" t="s">
        <v>853</v>
      </c>
    </row>
    <row r="346" spans="1:5" x14ac:dyDescent="0.3">
      <c r="A346" t="str">
        <f t="shared" si="5"/>
        <v>OR CIGNA Medicare Access</v>
      </c>
      <c r="B346" s="1" t="s">
        <v>728</v>
      </c>
      <c r="C346" s="1" t="s">
        <v>429</v>
      </c>
      <c r="D346" s="1" t="str">
        <f>IFERROR(VLOOKUP(A346,'MLR Data'!$A$2:$D$706,4,0),"")</f>
        <v/>
      </c>
      <c r="E346" s="5" t="s">
        <v>9</v>
      </c>
    </row>
    <row r="347" spans="1:5" x14ac:dyDescent="0.3">
      <c r="A347" t="str">
        <f t="shared" si="5"/>
        <v>OR WellCare</v>
      </c>
      <c r="B347" s="1" t="s">
        <v>728</v>
      </c>
      <c r="C347" s="1" t="s">
        <v>381</v>
      </c>
      <c r="D347" s="1" t="str">
        <f>IFERROR(VLOOKUP(A347,'MLR Data'!$A$2:$D$706,4,0),"")</f>
        <v/>
      </c>
      <c r="E347" s="3" t="s">
        <v>853</v>
      </c>
    </row>
    <row r="348" spans="1:5" x14ac:dyDescent="0.3">
      <c r="A348" t="str">
        <f t="shared" si="5"/>
        <v>OR ATRIO Health Plans</v>
      </c>
      <c r="B348" s="1" t="s">
        <v>728</v>
      </c>
      <c r="C348" s="1" t="s">
        <v>739</v>
      </c>
      <c r="D348" s="1" t="str">
        <f>IFERROR(VLOOKUP(A348,'MLR Data'!$A$2:$D$706,4,0),"")</f>
        <v/>
      </c>
      <c r="E348" s="3" t="s">
        <v>853</v>
      </c>
    </row>
    <row r="349" spans="1:5" x14ac:dyDescent="0.3">
      <c r="A349" t="str">
        <f t="shared" si="5"/>
        <v>PA Bravo by Elder Health</v>
      </c>
      <c r="B349" s="1" t="s">
        <v>744</v>
      </c>
      <c r="C349" s="1" t="s">
        <v>481</v>
      </c>
      <c r="D349" s="1" t="str">
        <f>IFERROR(VLOOKUP(A349,'MLR Data'!$A$2:$D$706,4,0),"")</f>
        <v/>
      </c>
      <c r="E349" s="3" t="s">
        <v>853</v>
      </c>
    </row>
    <row r="350" spans="1:5" x14ac:dyDescent="0.3">
      <c r="A350" t="str">
        <f t="shared" si="5"/>
        <v>PA Universal American Corp.</v>
      </c>
      <c r="B350" s="1" t="s">
        <v>744</v>
      </c>
      <c r="C350" s="1" t="s">
        <v>383</v>
      </c>
      <c r="D350" s="1" t="str">
        <f>IFERROR(VLOOKUP(A350,'MLR Data'!$A$2:$D$706,4,0),"")</f>
        <v/>
      </c>
      <c r="E350" s="3" t="s">
        <v>853</v>
      </c>
    </row>
    <row r="351" spans="1:5" x14ac:dyDescent="0.3">
      <c r="A351" t="str">
        <f t="shared" si="5"/>
        <v>SC Arcadian Health Plan, Inc.</v>
      </c>
      <c r="B351" s="1" t="s">
        <v>775</v>
      </c>
      <c r="C351" s="1" t="s">
        <v>462</v>
      </c>
      <c r="D351" s="1" t="str">
        <f>IFERROR(VLOOKUP(A351,'MLR Data'!$A$2:$D$706,4,0),"")</f>
        <v/>
      </c>
      <c r="E351" s="5" t="s">
        <v>15</v>
      </c>
    </row>
    <row r="352" spans="1:5" x14ac:dyDescent="0.3">
      <c r="A352" t="str">
        <f t="shared" si="5"/>
        <v>SC Windsor Medicare Extra</v>
      </c>
      <c r="B352" s="1" t="s">
        <v>775</v>
      </c>
      <c r="C352" s="1" t="s">
        <v>375</v>
      </c>
      <c r="D352" s="1" t="str">
        <f>IFERROR(VLOOKUP(A352,'MLR Data'!$A$2:$D$706,4,0),"")</f>
        <v/>
      </c>
      <c r="E352" s="3" t="s">
        <v>853</v>
      </c>
    </row>
    <row r="353" spans="1:5" x14ac:dyDescent="0.3">
      <c r="A353" t="str">
        <f t="shared" si="5"/>
        <v>TX Coventry Health Care</v>
      </c>
      <c r="B353" s="1" t="s">
        <v>791</v>
      </c>
      <c r="C353" s="1" t="s">
        <v>380</v>
      </c>
      <c r="D353" s="1" t="str">
        <f>IFERROR(VLOOKUP(A353,'MLR Data'!$A$2:$D$706,4,0),"")</f>
        <v/>
      </c>
      <c r="E353" s="3" t="s">
        <v>853</v>
      </c>
    </row>
    <row r="354" spans="1:5" x14ac:dyDescent="0.3">
      <c r="A354" t="str">
        <f t="shared" si="5"/>
        <v>WI Gundersen Lutheran Health Plan, Inc.</v>
      </c>
      <c r="B354" s="1" t="s">
        <v>830</v>
      </c>
      <c r="C354" s="1" t="s">
        <v>350</v>
      </c>
      <c r="D354" s="1" t="str">
        <f>IFERROR(VLOOKUP(A354,'MLR Data'!$A$2:$D$706,4,0),"")</f>
        <v>Gundersen Lutheran Health Plan, Inc.</v>
      </c>
      <c r="E354" s="3" t="s">
        <v>350</v>
      </c>
    </row>
    <row r="355" spans="1:5" x14ac:dyDescent="0.3">
      <c r="A355" t="str">
        <f t="shared" si="5"/>
        <v>WV Highmark Health Insurance Company</v>
      </c>
      <c r="B355" s="1" t="s">
        <v>839</v>
      </c>
      <c r="C355" s="1" t="s">
        <v>841</v>
      </c>
      <c r="D355" s="1" t="str">
        <f>IFERROR(VLOOKUP(A355,'MLR Data'!$A$2:$D$706,4,0),"")</f>
        <v/>
      </c>
      <c r="E355" s="3" t="s">
        <v>853</v>
      </c>
    </row>
    <row r="356" spans="1:5" x14ac:dyDescent="0.3">
      <c r="A356" t="str">
        <f t="shared" si="5"/>
        <v>AZ Health Choice Generations HMO SNP</v>
      </c>
      <c r="B356" s="1" t="s">
        <v>388</v>
      </c>
      <c r="C356" s="1" t="s">
        <v>401</v>
      </c>
      <c r="D356" s="1" t="str">
        <f>IFERROR(VLOOKUP(A356,'MLR Data'!$A$2:$D$706,4,0),"")</f>
        <v/>
      </c>
      <c r="E356" s="5" t="s">
        <v>853</v>
      </c>
    </row>
    <row r="357" spans="1:5" x14ac:dyDescent="0.3">
      <c r="A357" t="str">
        <f t="shared" si="5"/>
        <v>AZ CareMore Health Plan of Arizona, Inc.</v>
      </c>
      <c r="B357" s="1" t="s">
        <v>388</v>
      </c>
      <c r="C357" s="1" t="s">
        <v>412</v>
      </c>
      <c r="D357" s="1" t="str">
        <f>IFERROR(VLOOKUP(A357,'MLR Data'!$A$2:$D$706,4,0),"")</f>
        <v/>
      </c>
      <c r="E357" s="5" t="s">
        <v>853</v>
      </c>
    </row>
    <row r="358" spans="1:5" x14ac:dyDescent="0.3">
      <c r="A358" t="str">
        <f t="shared" si="5"/>
        <v>CT Anthem Blue Cross and Blue Shield</v>
      </c>
      <c r="B358" s="1" t="s">
        <v>474</v>
      </c>
      <c r="C358" s="1" t="s">
        <v>467</v>
      </c>
      <c r="D358" s="1" t="str">
        <f>IFERROR(VLOOKUP(A358,'MLR Data'!$A$2:$D$706,4,0),"")</f>
        <v/>
      </c>
      <c r="E358" s="5" t="s">
        <v>61</v>
      </c>
    </row>
    <row r="359" spans="1:5" x14ac:dyDescent="0.3">
      <c r="A359" t="str">
        <f t="shared" si="5"/>
        <v>FL MD MedicareChoice</v>
      </c>
      <c r="B359" s="1" t="s">
        <v>482</v>
      </c>
      <c r="C359" s="1" t="s">
        <v>484</v>
      </c>
      <c r="D359" s="1" t="str">
        <f>IFERROR(VLOOKUP(A359,'MLR Data'!$A$2:$D$706,4,0),"")</f>
        <v/>
      </c>
      <c r="E359" s="3" t="s">
        <v>853</v>
      </c>
    </row>
    <row r="360" spans="1:5" x14ac:dyDescent="0.3">
      <c r="A360" t="str">
        <f t="shared" si="5"/>
        <v>FL Aetna Medicare</v>
      </c>
      <c r="B360" s="1" t="s">
        <v>482</v>
      </c>
      <c r="C360" s="1" t="s">
        <v>407</v>
      </c>
      <c r="D360" s="1" t="str">
        <f>IFERROR(VLOOKUP(A360,'MLR Data'!$A$2:$D$706,4,0),"")</f>
        <v/>
      </c>
      <c r="E360" s="5" t="s">
        <v>73</v>
      </c>
    </row>
    <row r="361" spans="1:5" x14ac:dyDescent="0.3">
      <c r="A361" t="str">
        <f t="shared" si="5"/>
        <v>GA Advantra® Freedom</v>
      </c>
      <c r="B361" s="1" t="s">
        <v>523</v>
      </c>
      <c r="C361" s="1" t="s">
        <v>387</v>
      </c>
      <c r="D361" s="1" t="str">
        <f>IFERROR(VLOOKUP(A361,'MLR Data'!$A$2:$D$706,4,0),"")</f>
        <v/>
      </c>
      <c r="E361" s="5" t="s">
        <v>92</v>
      </c>
    </row>
    <row r="362" spans="1:5" x14ac:dyDescent="0.3">
      <c r="A362" t="str">
        <f t="shared" si="5"/>
        <v>IA UnitedHealthcare Plan of the River Valley, Inc.</v>
      </c>
      <c r="B362" s="1" t="s">
        <v>536</v>
      </c>
      <c r="C362" s="1" t="s">
        <v>114</v>
      </c>
      <c r="D362" s="1" t="str">
        <f>IFERROR(VLOOKUP(A362,'MLR Data'!$A$2:$D$706,4,0),"")</f>
        <v>UnitedHealthcare Plan of the River Valley, Inc.</v>
      </c>
      <c r="E362" s="3" t="s">
        <v>114</v>
      </c>
    </row>
    <row r="363" spans="1:5" x14ac:dyDescent="0.3">
      <c r="A363" t="str">
        <f t="shared" si="5"/>
        <v>MA Fallon Senior Plan or NaviCare</v>
      </c>
      <c r="B363" s="1" t="s">
        <v>569</v>
      </c>
      <c r="C363" s="1" t="s">
        <v>579</v>
      </c>
      <c r="D363" s="1" t="str">
        <f>IFERROR(VLOOKUP(A363,'MLR Data'!$A$2:$D$706,4,0),"")</f>
        <v/>
      </c>
      <c r="E363" s="5" t="s">
        <v>152</v>
      </c>
    </row>
    <row r="364" spans="1:5" x14ac:dyDescent="0.3">
      <c r="A364" t="str">
        <f t="shared" si="5"/>
        <v>MD Evercare® by UnitedHealthcare</v>
      </c>
      <c r="B364" s="1" t="s">
        <v>586</v>
      </c>
      <c r="C364" s="1" t="s">
        <v>396</v>
      </c>
      <c r="D364" s="1" t="str">
        <f>IFERROR(VLOOKUP(A364,'MLR Data'!$A$2:$D$706,4,0),"")</f>
        <v/>
      </c>
      <c r="E364" s="5" t="s">
        <v>20</v>
      </c>
    </row>
    <row r="365" spans="1:5" x14ac:dyDescent="0.3">
      <c r="A365" t="str">
        <f t="shared" si="5"/>
        <v>MD Bravo Health</v>
      </c>
      <c r="B365" s="1" t="s">
        <v>586</v>
      </c>
      <c r="C365" s="1" t="s">
        <v>480</v>
      </c>
      <c r="D365" s="1" t="str">
        <f>IFERROR(VLOOKUP(A365,'MLR Data'!$A$2:$D$706,4,0),"")</f>
        <v/>
      </c>
      <c r="E365" s="3" t="s">
        <v>853</v>
      </c>
    </row>
    <row r="366" spans="1:5" x14ac:dyDescent="0.3">
      <c r="A366" t="str">
        <f t="shared" si="5"/>
        <v>MI SecureHorizons by UnitedHealthcare</v>
      </c>
      <c r="B366" s="1" t="s">
        <v>592</v>
      </c>
      <c r="C366" s="1" t="s">
        <v>368</v>
      </c>
      <c r="D366" s="1" t="str">
        <f>IFERROR(VLOOKUP(A366,'MLR Data'!$A$2:$D$706,4,0),"")</f>
        <v/>
      </c>
      <c r="E366" s="5" t="s">
        <v>20</v>
      </c>
    </row>
    <row r="367" spans="1:5" x14ac:dyDescent="0.3">
      <c r="A367" t="str">
        <f t="shared" si="5"/>
        <v>MN South Country Health Alliance</v>
      </c>
      <c r="B367" s="1" t="s">
        <v>608</v>
      </c>
      <c r="C367" s="1" t="s">
        <v>617</v>
      </c>
      <c r="D367" s="1" t="str">
        <f>IFERROR(VLOOKUP(A367,'MLR Data'!$A$2:$D$706,4,0),"")</f>
        <v/>
      </c>
      <c r="E367" s="3" t="s">
        <v>853</v>
      </c>
    </row>
    <row r="368" spans="1:5" x14ac:dyDescent="0.3">
      <c r="A368" t="str">
        <f t="shared" si="5"/>
        <v>MO Blue Cross Blue Shield of Missouri</v>
      </c>
      <c r="B368" s="1" t="s">
        <v>621</v>
      </c>
      <c r="C368" s="1" t="s">
        <v>622</v>
      </c>
      <c r="D368" s="1" t="str">
        <f>IFERROR(VLOOKUP(A368,'MLR Data'!$A$2:$D$706,4,0),"")</f>
        <v/>
      </c>
      <c r="E368" s="3" t="s">
        <v>853</v>
      </c>
    </row>
    <row r="369" spans="1:5" x14ac:dyDescent="0.3">
      <c r="A369" t="str">
        <f t="shared" si="5"/>
        <v>MO WellCare</v>
      </c>
      <c r="B369" s="1" t="s">
        <v>621</v>
      </c>
      <c r="C369" s="1" t="s">
        <v>381</v>
      </c>
      <c r="D369" s="1" t="str">
        <f>IFERROR(VLOOKUP(A369,'MLR Data'!$A$2:$D$706,4,0),"")</f>
        <v/>
      </c>
      <c r="E369" s="3" t="s">
        <v>853</v>
      </c>
    </row>
    <row r="370" spans="1:5" x14ac:dyDescent="0.3">
      <c r="A370" t="str">
        <f t="shared" si="5"/>
        <v>MO Spokane Community Care</v>
      </c>
      <c r="B370" s="1" t="s">
        <v>621</v>
      </c>
      <c r="C370" s="1" t="s">
        <v>463</v>
      </c>
      <c r="D370" s="1" t="str">
        <f>IFERROR(VLOOKUP(A370,'MLR Data'!$A$2:$D$706,4,0),"")</f>
        <v/>
      </c>
      <c r="E370" s="3" t="s">
        <v>853</v>
      </c>
    </row>
    <row r="371" spans="1:5" x14ac:dyDescent="0.3">
      <c r="A371" t="str">
        <f t="shared" si="5"/>
        <v>MS Universal American</v>
      </c>
      <c r="B371" s="1" t="s">
        <v>626</v>
      </c>
      <c r="C371" s="1" t="s">
        <v>384</v>
      </c>
      <c r="D371" s="1" t="str">
        <f>IFERROR(VLOOKUP(A371,'MLR Data'!$A$2:$D$706,4,0),"")</f>
        <v/>
      </c>
      <c r="E371" s="3" t="s">
        <v>853</v>
      </c>
    </row>
    <row r="372" spans="1:5" x14ac:dyDescent="0.3">
      <c r="A372" t="str">
        <f t="shared" si="5"/>
        <v>MT SecureHorizons by UnitedHealthcare</v>
      </c>
      <c r="B372" s="1" t="s">
        <v>628</v>
      </c>
      <c r="C372" s="1" t="s">
        <v>368</v>
      </c>
      <c r="D372" s="1" t="str">
        <f>IFERROR(VLOOKUP(A372,'MLR Data'!$A$2:$D$706,4,0),"")</f>
        <v/>
      </c>
      <c r="E372" s="5" t="s">
        <v>20</v>
      </c>
    </row>
    <row r="373" spans="1:5" x14ac:dyDescent="0.3">
      <c r="A373" t="str">
        <f t="shared" si="5"/>
        <v>NC Humana Medical Plan, Inc.</v>
      </c>
      <c r="B373" s="1" t="s">
        <v>629</v>
      </c>
      <c r="C373" s="1" t="s">
        <v>86</v>
      </c>
      <c r="D373" s="1" t="str">
        <f>IFERROR(VLOOKUP(A373,'MLR Data'!$A$2:$D$706,4,0),"")</f>
        <v>Humana Medical Plan, Inc.</v>
      </c>
      <c r="E373" s="3" t="s">
        <v>86</v>
      </c>
    </row>
    <row r="374" spans="1:5" x14ac:dyDescent="0.3">
      <c r="A374" t="str">
        <f t="shared" si="5"/>
        <v>NE Advantra® Freedom</v>
      </c>
      <c r="B374" s="1" t="s">
        <v>638</v>
      </c>
      <c r="C374" s="1" t="s">
        <v>387</v>
      </c>
      <c r="D374" s="1" t="str">
        <f>IFERROR(VLOOKUP(A374,'MLR Data'!$A$2:$D$706,4,0),"")</f>
        <v/>
      </c>
      <c r="E374" s="5" t="s">
        <v>4</v>
      </c>
    </row>
    <row r="375" spans="1:5" x14ac:dyDescent="0.3">
      <c r="A375" t="str">
        <f t="shared" si="5"/>
        <v>NH Anthem Insurance Companies, Inc.</v>
      </c>
      <c r="B375" s="1" t="s">
        <v>640</v>
      </c>
      <c r="C375" s="1" t="s">
        <v>118</v>
      </c>
      <c r="D375" s="1" t="str">
        <f>IFERROR(VLOOKUP(A375,'MLR Data'!$A$2:$D$706,4,0),"")</f>
        <v/>
      </c>
      <c r="E375" s="3" t="s">
        <v>853</v>
      </c>
    </row>
    <row r="376" spans="1:5" x14ac:dyDescent="0.3">
      <c r="A376" t="str">
        <f t="shared" si="5"/>
        <v>NM Presbyterian Senior Care (HMO)</v>
      </c>
      <c r="B376" s="1" t="s">
        <v>649</v>
      </c>
      <c r="C376" s="1" t="s">
        <v>650</v>
      </c>
      <c r="D376" s="1" t="str">
        <f>IFERROR(VLOOKUP(A376,'MLR Data'!$A$2:$D$706,4,0),"")</f>
        <v/>
      </c>
      <c r="E376" s="5" t="s">
        <v>213</v>
      </c>
    </row>
    <row r="377" spans="1:5" x14ac:dyDescent="0.3">
      <c r="A377" t="str">
        <f t="shared" si="5"/>
        <v>OK Secure Horizons Medicare Advantage Plan</v>
      </c>
      <c r="B377" s="1" t="s">
        <v>722</v>
      </c>
      <c r="C377" s="1" t="s">
        <v>414</v>
      </c>
      <c r="D377" s="1" t="str">
        <f>IFERROR(VLOOKUP(A377,'MLR Data'!$A$2:$D$706,4,0),"")</f>
        <v/>
      </c>
      <c r="E377" s="3" t="s">
        <v>20</v>
      </c>
    </row>
    <row r="378" spans="1:5" x14ac:dyDescent="0.3">
      <c r="A378" t="str">
        <f t="shared" si="5"/>
        <v>OR Universal American</v>
      </c>
      <c r="B378" s="1" t="s">
        <v>728</v>
      </c>
      <c r="C378" s="1" t="s">
        <v>384</v>
      </c>
      <c r="D378" s="1" t="str">
        <f>IFERROR(VLOOKUP(A378,'MLR Data'!$A$2:$D$706,4,0),"")</f>
        <v/>
      </c>
      <c r="E378" s="3" t="s">
        <v>853</v>
      </c>
    </row>
    <row r="379" spans="1:5" x14ac:dyDescent="0.3">
      <c r="A379" t="str">
        <f t="shared" si="5"/>
        <v>SC SecureHorizons MedicareDirect</v>
      </c>
      <c r="B379" s="1" t="s">
        <v>775</v>
      </c>
      <c r="C379" s="1" t="s">
        <v>390</v>
      </c>
      <c r="D379" s="1" t="str">
        <f>IFERROR(VLOOKUP(A379,'MLR Data'!$A$2:$D$706,4,0),"")</f>
        <v/>
      </c>
      <c r="E379" s="5" t="s">
        <v>20</v>
      </c>
    </row>
    <row r="380" spans="1:5" x14ac:dyDescent="0.3">
      <c r="A380" t="str">
        <f t="shared" si="5"/>
        <v>SC SecureHorizons by UnitedHealthcare</v>
      </c>
      <c r="B380" s="1" t="s">
        <v>775</v>
      </c>
      <c r="C380" s="1" t="s">
        <v>368</v>
      </c>
      <c r="D380" s="1" t="str">
        <f>IFERROR(VLOOKUP(A380,'MLR Data'!$A$2:$D$706,4,0),"")</f>
        <v/>
      </c>
      <c r="E380" s="5" t="s">
        <v>20</v>
      </c>
    </row>
    <row r="381" spans="1:5" x14ac:dyDescent="0.3">
      <c r="A381" t="str">
        <f t="shared" si="5"/>
        <v>TX Universal HMO of Texas, Inc.</v>
      </c>
      <c r="B381" s="1" t="s">
        <v>791</v>
      </c>
      <c r="C381" s="1" t="s">
        <v>803</v>
      </c>
      <c r="D381" s="1" t="str">
        <f>IFERROR(VLOOKUP(A381,'MLR Data'!$A$2:$D$706,4,0),"")</f>
        <v/>
      </c>
      <c r="E381" s="3" t="s">
        <v>853</v>
      </c>
    </row>
    <row r="382" spans="1:5" x14ac:dyDescent="0.3">
      <c r="A382" t="str">
        <f t="shared" si="5"/>
        <v>UT Altius Health Plans</v>
      </c>
      <c r="B382" s="1" t="s">
        <v>813</v>
      </c>
      <c r="C382" s="1" t="s">
        <v>814</v>
      </c>
      <c r="D382" s="1" t="str">
        <f>IFERROR(VLOOKUP(A382,'MLR Data'!$A$2:$D$706,4,0),"")</f>
        <v/>
      </c>
      <c r="E382" s="5" t="s">
        <v>318</v>
      </c>
    </row>
    <row r="383" spans="1:5" x14ac:dyDescent="0.3">
      <c r="A383" t="str">
        <f t="shared" si="5"/>
        <v>VA UNIVERSAL HEALTH CARE INSURANCE COMPANY, INC.</v>
      </c>
      <c r="B383" s="1" t="s">
        <v>819</v>
      </c>
      <c r="C383" s="1" t="s">
        <v>394</v>
      </c>
      <c r="D383" s="1" t="str">
        <f>IFERROR(VLOOKUP(A383,'MLR Data'!$A$2:$D$706,4,0),"")</f>
        <v/>
      </c>
      <c r="E383" s="3" t="s">
        <v>853</v>
      </c>
    </row>
    <row r="384" spans="1:5" x14ac:dyDescent="0.3">
      <c r="A384" t="str">
        <f t="shared" si="5"/>
        <v>VA SecureHorizons MedicareDirect</v>
      </c>
      <c r="B384" s="1" t="s">
        <v>819</v>
      </c>
      <c r="C384" s="1" t="s">
        <v>390</v>
      </c>
      <c r="D384" s="1" t="str">
        <f>IFERROR(VLOOKUP(A384,'MLR Data'!$A$2:$D$706,4,0),"")</f>
        <v/>
      </c>
      <c r="E384" s="5" t="s">
        <v>20</v>
      </c>
    </row>
    <row r="385" spans="1:5" x14ac:dyDescent="0.3">
      <c r="A385" t="str">
        <f t="shared" si="5"/>
        <v>WA CIGNA Medicare Access</v>
      </c>
      <c r="B385" s="1" t="s">
        <v>824</v>
      </c>
      <c r="C385" s="1" t="s">
        <v>429</v>
      </c>
      <c r="D385" s="1" t="str">
        <f>IFERROR(VLOOKUP(A385,'MLR Data'!$A$2:$D$706,4,0),"")</f>
        <v/>
      </c>
      <c r="E385" s="5" t="s">
        <v>9</v>
      </c>
    </row>
    <row r="386" spans="1:5" x14ac:dyDescent="0.3">
      <c r="A386" t="str">
        <f t="shared" ref="A386:A449" si="6">B386&amp;" "&amp;C386</f>
        <v>WA Molina Healthcare of Washington, Inc.</v>
      </c>
      <c r="B386" s="1" t="s">
        <v>824</v>
      </c>
      <c r="C386" s="1" t="s">
        <v>828</v>
      </c>
      <c r="D386" s="1" t="str">
        <f>IFERROR(VLOOKUP(A386,'MLR Data'!$A$2:$D$706,4,0),"")</f>
        <v/>
      </c>
      <c r="E386" s="3" t="s">
        <v>853</v>
      </c>
    </row>
    <row r="387" spans="1:5" x14ac:dyDescent="0.3">
      <c r="A387" t="str">
        <f t="shared" si="6"/>
        <v>AL SecureHorizons</v>
      </c>
      <c r="B387" s="1" t="s">
        <v>367</v>
      </c>
      <c r="C387" s="1" t="s">
        <v>374</v>
      </c>
      <c r="D387" s="1" t="str">
        <f>IFERROR(VLOOKUP(A387,'MLR Data'!$A$2:$D$706,4,0),"")</f>
        <v/>
      </c>
      <c r="E387" s="5" t="s">
        <v>20</v>
      </c>
    </row>
    <row r="388" spans="1:5" x14ac:dyDescent="0.3">
      <c r="A388" t="str">
        <f t="shared" si="6"/>
        <v>CA MD Care Healthplan</v>
      </c>
      <c r="B388" s="1" t="s">
        <v>418</v>
      </c>
      <c r="C388" s="1" t="s">
        <v>444</v>
      </c>
      <c r="D388" s="1" t="str">
        <f>IFERROR(VLOOKUP(A388,'MLR Data'!$A$2:$D$706,4,0),"")</f>
        <v/>
      </c>
      <c r="E388" s="3" t="s">
        <v>853</v>
      </c>
    </row>
    <row r="389" spans="1:5" x14ac:dyDescent="0.3">
      <c r="A389" t="str">
        <f t="shared" si="6"/>
        <v>CO Aetna Medicare</v>
      </c>
      <c r="B389" s="1" t="s">
        <v>464</v>
      </c>
      <c r="C389" s="1" t="s">
        <v>407</v>
      </c>
      <c r="D389" s="1" t="str">
        <f>IFERROR(VLOOKUP(A389,'MLR Data'!$A$2:$D$706,4,0),"")</f>
        <v/>
      </c>
      <c r="E389" s="5" t="s">
        <v>26</v>
      </c>
    </row>
    <row r="390" spans="1:5" x14ac:dyDescent="0.3">
      <c r="A390" t="str">
        <f t="shared" si="6"/>
        <v>CT WellCare</v>
      </c>
      <c r="B390" s="1" t="s">
        <v>474</v>
      </c>
      <c r="C390" s="1" t="s">
        <v>381</v>
      </c>
      <c r="E390" s="5" t="str">
        <f>IFERROR(VLOOKUP(A390,'MLR Data'!$A$2:$D$706,4,0),"")</f>
        <v/>
      </c>
    </row>
    <row r="391" spans="1:5" x14ac:dyDescent="0.3">
      <c r="A391" t="str">
        <f t="shared" si="6"/>
        <v>FL Health Options, Inc / Blue Cross Blue Shield of FL</v>
      </c>
      <c r="B391" s="1" t="s">
        <v>482</v>
      </c>
      <c r="C391" s="1" t="s">
        <v>496</v>
      </c>
      <c r="D391" s="1" t="str">
        <f>IFERROR(VLOOKUP(A391,'MLR Data'!$A$2:$D$706,4,0),"")</f>
        <v/>
      </c>
      <c r="E391" s="3" t="s">
        <v>853</v>
      </c>
    </row>
    <row r="392" spans="1:5" x14ac:dyDescent="0.3">
      <c r="A392" t="str">
        <f t="shared" si="6"/>
        <v>GA SecureHorizons MedicareDirect</v>
      </c>
      <c r="B392" s="1" t="s">
        <v>523</v>
      </c>
      <c r="C392" s="1" t="s">
        <v>390</v>
      </c>
      <c r="D392" s="1" t="str">
        <f>IFERROR(VLOOKUP(A392,'MLR Data'!$A$2:$D$706,4,0),"")</f>
        <v/>
      </c>
      <c r="E392" s="5" t="s">
        <v>20</v>
      </c>
    </row>
    <row r="393" spans="1:5" x14ac:dyDescent="0.3">
      <c r="A393" t="str">
        <f t="shared" si="6"/>
        <v>GA Blue Cross Blue Shield Healthcare Plan of Georgia</v>
      </c>
      <c r="B393" s="1" t="s">
        <v>523</v>
      </c>
      <c r="C393" s="1" t="s">
        <v>528</v>
      </c>
      <c r="D393" s="1" t="str">
        <f>IFERROR(VLOOKUP(A393,'MLR Data'!$A$2:$D$706,4,0),"")</f>
        <v/>
      </c>
      <c r="E393" s="5" t="s">
        <v>93</v>
      </c>
    </row>
    <row r="394" spans="1:5" x14ac:dyDescent="0.3">
      <c r="A394" t="str">
        <f t="shared" si="6"/>
        <v>IL Advantra® Freedom</v>
      </c>
      <c r="B394" s="1" t="s">
        <v>543</v>
      </c>
      <c r="C394" s="1" t="s">
        <v>387</v>
      </c>
      <c r="D394" s="1" t="str">
        <f>IFERROR(VLOOKUP(A394,'MLR Data'!$A$2:$D$706,4,0),"")</f>
        <v/>
      </c>
      <c r="E394" s="5" t="s">
        <v>26</v>
      </c>
    </row>
    <row r="395" spans="1:5" x14ac:dyDescent="0.3">
      <c r="A395" t="str">
        <f t="shared" si="6"/>
        <v>IL Unicare Life &amp; Health Ins. Company</v>
      </c>
      <c r="B395" s="1" t="s">
        <v>543</v>
      </c>
      <c r="C395" s="1" t="s">
        <v>415</v>
      </c>
      <c r="D395" s="1" t="str">
        <f>IFERROR(VLOOKUP(A395,'MLR Data'!$A$2:$D$706,4,0),"")</f>
        <v/>
      </c>
      <c r="E395" s="5" t="s">
        <v>16</v>
      </c>
    </row>
    <row r="396" spans="1:5" x14ac:dyDescent="0.3">
      <c r="A396" t="str">
        <f t="shared" si="6"/>
        <v>IN WellCare</v>
      </c>
      <c r="B396" s="1" t="s">
        <v>549</v>
      </c>
      <c r="C396" s="1" t="s">
        <v>381</v>
      </c>
      <c r="D396" s="1" t="str">
        <f>IFERROR(VLOOKUP(A396,'MLR Data'!$A$2:$D$706,4,0),"")</f>
        <v/>
      </c>
      <c r="E396" s="3" t="s">
        <v>853</v>
      </c>
    </row>
    <row r="397" spans="1:5" x14ac:dyDescent="0.3">
      <c r="A397" t="str">
        <f t="shared" si="6"/>
        <v>KS SecureHorizons by UnitedHealthcare</v>
      </c>
      <c r="B397" s="1" t="s">
        <v>555</v>
      </c>
      <c r="C397" s="1" t="s">
        <v>368</v>
      </c>
      <c r="D397" s="1" t="str">
        <f>IFERROR(VLOOKUP(A397,'MLR Data'!$A$2:$D$706,4,0),"")</f>
        <v/>
      </c>
      <c r="E397" s="5" t="s">
        <v>20</v>
      </c>
    </row>
    <row r="398" spans="1:5" x14ac:dyDescent="0.3">
      <c r="A398" t="str">
        <f t="shared" si="6"/>
        <v>MA HNE Medicare Advantage Plans</v>
      </c>
      <c r="B398" s="1" t="s">
        <v>569</v>
      </c>
      <c r="C398" s="1" t="s">
        <v>577</v>
      </c>
      <c r="D398" s="1" t="str">
        <f>IFERROR(VLOOKUP(A398,'MLR Data'!$A$2:$D$706,4,0),"")</f>
        <v/>
      </c>
      <c r="E398" s="5" t="s">
        <v>154</v>
      </c>
    </row>
    <row r="399" spans="1:5" x14ac:dyDescent="0.3">
      <c r="A399" t="str">
        <f t="shared" si="6"/>
        <v>ME Aetna Medicare</v>
      </c>
      <c r="B399" s="1" t="s">
        <v>589</v>
      </c>
      <c r="C399" s="1" t="s">
        <v>407</v>
      </c>
      <c r="D399" s="1" t="str">
        <f>IFERROR(VLOOKUP(A399,'MLR Data'!$A$2:$D$706,4,0),"")</f>
        <v/>
      </c>
      <c r="E399" s="5" t="s">
        <v>141</v>
      </c>
    </row>
    <row r="400" spans="1:5" x14ac:dyDescent="0.3">
      <c r="A400" t="str">
        <f t="shared" si="6"/>
        <v>MI Unicare Life &amp; Health Ins. Company</v>
      </c>
      <c r="B400" s="1" t="s">
        <v>592</v>
      </c>
      <c r="C400" s="1" t="s">
        <v>415</v>
      </c>
      <c r="D400" s="1" t="str">
        <f>IFERROR(VLOOKUP(A400,'MLR Data'!$A$2:$D$706,4,0),"")</f>
        <v/>
      </c>
      <c r="E400" s="5" t="s">
        <v>16</v>
      </c>
    </row>
    <row r="401" spans="1:5" x14ac:dyDescent="0.3">
      <c r="A401" t="str">
        <f t="shared" si="6"/>
        <v>NC AARP MedicareComplete from SecureHorizons</v>
      </c>
      <c r="B401" s="1" t="s">
        <v>629</v>
      </c>
      <c r="C401" s="1" t="s">
        <v>473</v>
      </c>
      <c r="D401" s="1" t="str">
        <f>IFERROR(VLOOKUP(A401,'MLR Data'!$A$2:$D$706,4,0),"")</f>
        <v/>
      </c>
      <c r="E401" s="5" t="s">
        <v>20</v>
      </c>
    </row>
    <row r="402" spans="1:5" x14ac:dyDescent="0.3">
      <c r="A402" t="str">
        <f t="shared" si="6"/>
        <v>NV Humana Insurance Company</v>
      </c>
      <c r="B402" s="1" t="s">
        <v>660</v>
      </c>
      <c r="C402" s="1" t="s">
        <v>372</v>
      </c>
      <c r="D402" s="1" t="str">
        <f>IFERROR(VLOOKUP(A402,'MLR Data'!$A$2:$D$706,4,0),"")</f>
        <v/>
      </c>
      <c r="E402" s="5" t="s">
        <v>15</v>
      </c>
    </row>
    <row r="403" spans="1:5" x14ac:dyDescent="0.3">
      <c r="A403" t="str">
        <f t="shared" si="6"/>
        <v>NY Comprehensive Care Management Corp.</v>
      </c>
      <c r="B403" s="1" t="s">
        <v>665</v>
      </c>
      <c r="C403" s="1" t="s">
        <v>682</v>
      </c>
      <c r="D403" s="1" t="str">
        <f>IFERROR(VLOOKUP(A403,'MLR Data'!$A$2:$D$706,4,0),"")</f>
        <v/>
      </c>
      <c r="E403" s="3" t="s">
        <v>853</v>
      </c>
    </row>
    <row r="404" spans="1:5" x14ac:dyDescent="0.3">
      <c r="A404" t="str">
        <f t="shared" si="6"/>
        <v>NY Neighborhood Health Providers</v>
      </c>
      <c r="B404" s="1" t="s">
        <v>665</v>
      </c>
      <c r="C404" s="1" t="s">
        <v>701</v>
      </c>
      <c r="D404" s="1" t="str">
        <f>IFERROR(VLOOKUP(A404,'MLR Data'!$A$2:$D$706,4,0),"")</f>
        <v/>
      </c>
      <c r="E404" s="3" t="s">
        <v>853</v>
      </c>
    </row>
    <row r="405" spans="1:5" x14ac:dyDescent="0.3">
      <c r="A405" t="str">
        <f t="shared" si="6"/>
        <v>OR Samaritan Advantage Health Plan</v>
      </c>
      <c r="B405" s="1" t="s">
        <v>728</v>
      </c>
      <c r="C405" s="1" t="s">
        <v>730</v>
      </c>
      <c r="D405" s="1" t="str">
        <f>IFERROR(VLOOKUP(A405,'MLR Data'!$A$2:$D$706,4,0),"")</f>
        <v/>
      </c>
      <c r="E405" s="3" t="s">
        <v>853</v>
      </c>
    </row>
    <row r="406" spans="1:5" x14ac:dyDescent="0.3">
      <c r="A406" t="str">
        <f t="shared" si="6"/>
        <v>OR AARP MedicareComplete provided by SecureHorizons</v>
      </c>
      <c r="B406" s="1" t="s">
        <v>728</v>
      </c>
      <c r="C406" s="1" t="s">
        <v>468</v>
      </c>
      <c r="D406" s="1" t="str">
        <f>IFERROR(VLOOKUP(A406,'MLR Data'!$A$2:$D$706,4,0),"")</f>
        <v/>
      </c>
      <c r="E406" s="5" t="s">
        <v>20</v>
      </c>
    </row>
    <row r="407" spans="1:5" x14ac:dyDescent="0.3">
      <c r="A407" t="str">
        <f t="shared" si="6"/>
        <v>OR CareOregon Advantage</v>
      </c>
      <c r="B407" s="1" t="s">
        <v>728</v>
      </c>
      <c r="C407" s="1" t="s">
        <v>732</v>
      </c>
      <c r="D407" s="1" t="str">
        <f>IFERROR(VLOOKUP(A407,'MLR Data'!$A$2:$D$706,4,0),"")</f>
        <v/>
      </c>
      <c r="E407" s="3" t="s">
        <v>853</v>
      </c>
    </row>
    <row r="408" spans="1:5" x14ac:dyDescent="0.3">
      <c r="A408" t="str">
        <f t="shared" si="6"/>
        <v>PA Bravo Health</v>
      </c>
      <c r="B408" s="1" t="s">
        <v>744</v>
      </c>
      <c r="C408" s="1" t="s">
        <v>480</v>
      </c>
      <c r="D408" s="1" t="str">
        <f>IFERROR(VLOOKUP(A408,'MLR Data'!$A$2:$D$706,4,0),"")</f>
        <v/>
      </c>
      <c r="E408" s="3" t="s">
        <v>853</v>
      </c>
    </row>
    <row r="409" spans="1:5" x14ac:dyDescent="0.3">
      <c r="A409" t="str">
        <f t="shared" si="6"/>
        <v>PA Advantra® Freedom</v>
      </c>
      <c r="B409" s="1" t="s">
        <v>744</v>
      </c>
      <c r="C409" s="1" t="s">
        <v>387</v>
      </c>
      <c r="D409" s="1" t="str">
        <f>IFERROR(VLOOKUP(A409,'MLR Data'!$A$2:$D$706,4,0),"")</f>
        <v/>
      </c>
      <c r="E409" s="5" t="s">
        <v>26</v>
      </c>
    </row>
    <row r="410" spans="1:5" x14ac:dyDescent="0.3">
      <c r="A410" t="str">
        <f t="shared" si="6"/>
        <v>SC WellCare</v>
      </c>
      <c r="B410" s="1" t="s">
        <v>775</v>
      </c>
      <c r="C410" s="1" t="s">
        <v>381</v>
      </c>
      <c r="D410" s="1" t="str">
        <f>IFERROR(VLOOKUP(A410,'MLR Data'!$A$2:$D$706,4,0),"")</f>
        <v/>
      </c>
      <c r="E410" s="3" t="s">
        <v>853</v>
      </c>
    </row>
    <row r="411" spans="1:5" x14ac:dyDescent="0.3">
      <c r="A411" t="str">
        <f t="shared" si="6"/>
        <v>TX TexasFirst Health Plans</v>
      </c>
      <c r="B411" s="1" t="s">
        <v>791</v>
      </c>
      <c r="C411" s="1" t="s">
        <v>802</v>
      </c>
      <c r="D411" s="1" t="str">
        <f>IFERROR(VLOOKUP(A411,'MLR Data'!$A$2:$D$706,4,0),"")</f>
        <v/>
      </c>
      <c r="E411" s="3" t="s">
        <v>853</v>
      </c>
    </row>
    <row r="412" spans="1:5" x14ac:dyDescent="0.3">
      <c r="A412" t="str">
        <f t="shared" si="6"/>
        <v>WA Group Health Options, Inc.</v>
      </c>
      <c r="B412" s="1" t="s">
        <v>824</v>
      </c>
      <c r="C412" s="1" t="s">
        <v>826</v>
      </c>
      <c r="D412" s="1" t="str">
        <f>IFERROR(VLOOKUP(A412,'MLR Data'!$A$2:$D$706,4,0),"")</f>
        <v/>
      </c>
      <c r="E412" s="5" t="s">
        <v>336</v>
      </c>
    </row>
    <row r="413" spans="1:5" x14ac:dyDescent="0.3">
      <c r="A413" t="str">
        <f t="shared" si="6"/>
        <v>WA Advantra® Freedom</v>
      </c>
      <c r="B413" s="1" t="s">
        <v>824</v>
      </c>
      <c r="C413" s="1" t="s">
        <v>387</v>
      </c>
      <c r="D413" s="1" t="str">
        <f>IFERROR(VLOOKUP(A413,'MLR Data'!$A$2:$D$706,4,0),"")</f>
        <v/>
      </c>
      <c r="E413" s="5" t="s">
        <v>4</v>
      </c>
    </row>
    <row r="414" spans="1:5" x14ac:dyDescent="0.3">
      <c r="A414" t="str">
        <f t="shared" si="6"/>
        <v>WV The Health Plan</v>
      </c>
      <c r="B414" s="1" t="s">
        <v>839</v>
      </c>
      <c r="C414" s="1" t="s">
        <v>711</v>
      </c>
      <c r="D414" s="1" t="str">
        <f>IFERROR(VLOOKUP(A414,'MLR Data'!$A$2:$D$706,4,0),"")</f>
        <v/>
      </c>
      <c r="E414" s="3" t="s">
        <v>853</v>
      </c>
    </row>
    <row r="415" spans="1:5" x14ac:dyDescent="0.3">
      <c r="A415" t="str">
        <f t="shared" si="6"/>
        <v>AR Humana Health Plan, Inc.</v>
      </c>
      <c r="B415" s="1" t="s">
        <v>376</v>
      </c>
      <c r="C415" s="1" t="s">
        <v>13</v>
      </c>
      <c r="D415" s="1" t="str">
        <f>IFERROR(VLOOKUP(A415,'MLR Data'!$A$2:$D$706,4,0),"")</f>
        <v>Humana Health Plan, Inc.</v>
      </c>
      <c r="E415" s="5" t="s">
        <v>13</v>
      </c>
    </row>
    <row r="416" spans="1:5" x14ac:dyDescent="0.3">
      <c r="A416" t="str">
        <f t="shared" si="6"/>
        <v>AZ Advantra® Freedom</v>
      </c>
      <c r="B416" s="1" t="s">
        <v>388</v>
      </c>
      <c r="C416" s="1" t="s">
        <v>387</v>
      </c>
      <c r="D416" s="1" t="str">
        <f>IFERROR(VLOOKUP(A416,'MLR Data'!$A$2:$D$706,4,0),"")</f>
        <v/>
      </c>
      <c r="E416" s="5" t="s">
        <v>26</v>
      </c>
    </row>
    <row r="417" spans="1:5" x14ac:dyDescent="0.3">
      <c r="A417" t="str">
        <f t="shared" si="6"/>
        <v>AZ Desert Canyon Community Care</v>
      </c>
      <c r="B417" s="1" t="s">
        <v>388</v>
      </c>
      <c r="C417" s="1" t="s">
        <v>393</v>
      </c>
      <c r="D417" s="1" t="str">
        <f>IFERROR(VLOOKUP(A417,'MLR Data'!$A$2:$D$706,4,0),"")</f>
        <v/>
      </c>
      <c r="E417" s="5" t="s">
        <v>853</v>
      </c>
    </row>
    <row r="418" spans="1:5" x14ac:dyDescent="0.3">
      <c r="A418" t="str">
        <f t="shared" si="6"/>
        <v>CA Health Net Of CA</v>
      </c>
      <c r="B418" s="1" t="s">
        <v>418</v>
      </c>
      <c r="C418" s="1" t="s">
        <v>433</v>
      </c>
      <c r="D418" s="1" t="str">
        <f>IFERROR(VLOOKUP(A418,'MLR Data'!$A$2:$D$706,4,0),"")</f>
        <v/>
      </c>
      <c r="E418" s="5" t="s">
        <v>47</v>
      </c>
    </row>
    <row r="419" spans="1:5" x14ac:dyDescent="0.3">
      <c r="A419" t="str">
        <f t="shared" si="6"/>
        <v>CA Health Net of CA</v>
      </c>
      <c r="B419" s="1" t="s">
        <v>418</v>
      </c>
      <c r="C419" s="1" t="s">
        <v>445</v>
      </c>
      <c r="D419" s="1" t="str">
        <f>IFERROR(VLOOKUP(A419,'MLR Data'!$A$2:$D$706,4,0),"")</f>
        <v/>
      </c>
      <c r="E419" s="5" t="s">
        <v>47</v>
      </c>
    </row>
    <row r="420" spans="1:5" x14ac:dyDescent="0.3">
      <c r="A420" t="str">
        <f t="shared" si="6"/>
        <v>CO Colorado Access</v>
      </c>
      <c r="B420" s="1" t="s">
        <v>464</v>
      </c>
      <c r="C420" s="1" t="s">
        <v>466</v>
      </c>
      <c r="D420" s="1" t="str">
        <f>IFERROR(VLOOKUP(A420,'MLR Data'!$A$2:$D$706,4,0),"")</f>
        <v/>
      </c>
      <c r="E420" s="3" t="s">
        <v>853</v>
      </c>
    </row>
    <row r="421" spans="1:5" x14ac:dyDescent="0.3">
      <c r="A421" t="str">
        <f t="shared" si="6"/>
        <v>CT Aetna Medicare</v>
      </c>
      <c r="B421" s="1" t="s">
        <v>474</v>
      </c>
      <c r="C421" s="1" t="s">
        <v>407</v>
      </c>
      <c r="D421" s="1" t="str">
        <f>IFERROR(VLOOKUP(A421,'MLR Data'!$A$2:$D$706,4,0),"")</f>
        <v/>
      </c>
      <c r="E421" s="5" t="s">
        <v>60</v>
      </c>
    </row>
    <row r="422" spans="1:5" x14ac:dyDescent="0.3">
      <c r="A422" t="str">
        <f t="shared" si="6"/>
        <v>FL Medica HealthCare Plans, Inc.</v>
      </c>
      <c r="B422" s="1" t="s">
        <v>482</v>
      </c>
      <c r="C422" s="1" t="s">
        <v>502</v>
      </c>
      <c r="D422" s="1" t="str">
        <f>IFERROR(VLOOKUP(A422,'MLR Data'!$A$2:$D$706,4,0),"")</f>
        <v/>
      </c>
      <c r="E422" s="5" t="s">
        <v>87</v>
      </c>
    </row>
    <row r="423" spans="1:5" x14ac:dyDescent="0.3">
      <c r="A423" t="str">
        <f t="shared" si="6"/>
        <v>FL Summit Health Plan, Inc.</v>
      </c>
      <c r="B423" s="1" t="s">
        <v>482</v>
      </c>
      <c r="C423" s="1" t="s">
        <v>506</v>
      </c>
      <c r="D423" s="1" t="str">
        <f>IFERROR(VLOOKUP(A423,'MLR Data'!$A$2:$D$706,4,0),"")</f>
        <v/>
      </c>
      <c r="E423" s="3" t="s">
        <v>853</v>
      </c>
    </row>
    <row r="424" spans="1:5" x14ac:dyDescent="0.3">
      <c r="A424" t="str">
        <f t="shared" si="6"/>
        <v>FL Capital Health Plan</v>
      </c>
      <c r="B424" s="1" t="s">
        <v>482</v>
      </c>
      <c r="C424" s="1" t="s">
        <v>76</v>
      </c>
      <c r="D424" s="1" t="str">
        <f>IFERROR(VLOOKUP(A424,'MLR Data'!$A$2:$D$706,4,0),"")</f>
        <v>Capital Health Plan</v>
      </c>
      <c r="E424" s="3" t="s">
        <v>76</v>
      </c>
    </row>
    <row r="425" spans="1:5" x14ac:dyDescent="0.3">
      <c r="A425" t="str">
        <f t="shared" si="6"/>
        <v>IA Advantra® Freedom</v>
      </c>
      <c r="B425" s="1" t="s">
        <v>536</v>
      </c>
      <c r="C425" s="1" t="s">
        <v>387</v>
      </c>
      <c r="D425" s="1" t="str">
        <f>IFERROR(VLOOKUP(A425,'MLR Data'!$A$2:$D$706,4,0),"")</f>
        <v/>
      </c>
      <c r="E425" s="5" t="s">
        <v>4</v>
      </c>
    </row>
    <row r="426" spans="1:5" x14ac:dyDescent="0.3">
      <c r="A426" t="str">
        <f t="shared" si="6"/>
        <v>IA Unicare Life &amp; Health Ins. Company</v>
      </c>
      <c r="B426" s="1" t="s">
        <v>536</v>
      </c>
      <c r="C426" s="1" t="s">
        <v>415</v>
      </c>
      <c r="D426" s="1" t="str">
        <f>IFERROR(VLOOKUP(A426,'MLR Data'!$A$2:$D$706,4,0),"")</f>
        <v/>
      </c>
      <c r="E426" s="3" t="s">
        <v>853</v>
      </c>
    </row>
    <row r="427" spans="1:5" x14ac:dyDescent="0.3">
      <c r="A427" t="str">
        <f t="shared" si="6"/>
        <v>ID Blue Cross of Idaho</v>
      </c>
      <c r="B427" s="1" t="s">
        <v>539</v>
      </c>
      <c r="C427" s="1" t="s">
        <v>542</v>
      </c>
      <c r="D427" s="1" t="str">
        <f>IFERROR(VLOOKUP(A427,'MLR Data'!$A$2:$D$706,4,0),"")</f>
        <v/>
      </c>
      <c r="E427" s="5" t="s">
        <v>103</v>
      </c>
    </row>
    <row r="428" spans="1:5" x14ac:dyDescent="0.3">
      <c r="A428" t="str">
        <f t="shared" si="6"/>
        <v>IL Coventry Health Care of Missouri, Inc.</v>
      </c>
      <c r="B428" s="1" t="s">
        <v>543</v>
      </c>
      <c r="C428" s="1" t="s">
        <v>108</v>
      </c>
      <c r="D428" s="1" t="str">
        <f>IFERROR(VLOOKUP(A428,'MLR Data'!$A$2:$D$706,4,0),"")</f>
        <v>Coventry Health Care of Missouri, Inc.</v>
      </c>
      <c r="E428" s="3" t="s">
        <v>108</v>
      </c>
    </row>
    <row r="429" spans="1:5" x14ac:dyDescent="0.3">
      <c r="A429" t="str">
        <f t="shared" si="6"/>
        <v>KY SecureHorizons by UnitedHealthcare</v>
      </c>
      <c r="B429" s="1" t="s">
        <v>559</v>
      </c>
      <c r="C429" s="1" t="s">
        <v>368</v>
      </c>
      <c r="D429" s="1" t="str">
        <f>IFERROR(VLOOKUP(A429,'MLR Data'!$A$2:$D$706,4,0),"")</f>
        <v/>
      </c>
      <c r="E429" s="5" t="s">
        <v>20</v>
      </c>
    </row>
    <row r="430" spans="1:5" x14ac:dyDescent="0.3">
      <c r="A430" t="str">
        <f t="shared" si="6"/>
        <v>KY Advantra® Freedom</v>
      </c>
      <c r="B430" s="1" t="s">
        <v>559</v>
      </c>
      <c r="C430" s="1" t="s">
        <v>387</v>
      </c>
      <c r="D430" s="1" t="str">
        <f>IFERROR(VLOOKUP(A430,'MLR Data'!$A$2:$D$706,4,0),"")</f>
        <v/>
      </c>
      <c r="E430" s="5" t="s">
        <v>4</v>
      </c>
    </row>
    <row r="431" spans="1:5" x14ac:dyDescent="0.3">
      <c r="A431" t="str">
        <f t="shared" si="6"/>
        <v>LA SecureHorizons by UnitedHealthcare</v>
      </c>
      <c r="B431" s="1" t="s">
        <v>561</v>
      </c>
      <c r="C431" s="1" t="s">
        <v>368</v>
      </c>
      <c r="D431" s="1" t="str">
        <f>IFERROR(VLOOKUP(A431,'MLR Data'!$A$2:$D$706,4,0),"")</f>
        <v/>
      </c>
      <c r="E431" s="5" t="s">
        <v>20</v>
      </c>
    </row>
    <row r="432" spans="1:5" x14ac:dyDescent="0.3">
      <c r="A432" t="str">
        <f t="shared" si="6"/>
        <v>MA Senior Whole Health</v>
      </c>
      <c r="B432" s="1" t="s">
        <v>569</v>
      </c>
      <c r="C432" s="1" t="s">
        <v>573</v>
      </c>
      <c r="D432" s="1" t="str">
        <f>IFERROR(VLOOKUP(A432,'MLR Data'!$A$2:$D$706,4,0),"")</f>
        <v/>
      </c>
      <c r="E432" s="3" t="s">
        <v>853</v>
      </c>
    </row>
    <row r="433" spans="1:5" x14ac:dyDescent="0.3">
      <c r="A433" t="str">
        <f t="shared" si="6"/>
        <v>MA Advantra® Freedom</v>
      </c>
      <c r="B433" s="1" t="s">
        <v>569</v>
      </c>
      <c r="C433" s="1" t="s">
        <v>387</v>
      </c>
      <c r="D433" s="1" t="str">
        <f>IFERROR(VLOOKUP(A433,'MLR Data'!$A$2:$D$706,4,0),"")</f>
        <v/>
      </c>
      <c r="E433" s="5" t="s">
        <v>26</v>
      </c>
    </row>
    <row r="434" spans="1:5" x14ac:dyDescent="0.3">
      <c r="A434" t="str">
        <f t="shared" si="6"/>
        <v>MI HealthPlus of Michigan</v>
      </c>
      <c r="B434" s="1" t="s">
        <v>592</v>
      </c>
      <c r="C434" s="1" t="s">
        <v>595</v>
      </c>
      <c r="D434" s="1" t="str">
        <f>IFERROR(VLOOKUP(A434,'MLR Data'!$A$2:$D$706,4,0),"")</f>
        <v/>
      </c>
      <c r="E434" s="5" t="s">
        <v>167</v>
      </c>
    </row>
    <row r="435" spans="1:5" x14ac:dyDescent="0.3">
      <c r="A435" t="str">
        <f t="shared" si="6"/>
        <v>MI Universal American</v>
      </c>
      <c r="B435" s="1" t="s">
        <v>592</v>
      </c>
      <c r="C435" s="1" t="s">
        <v>384</v>
      </c>
      <c r="D435" s="1" t="str">
        <f>IFERROR(VLOOKUP(A435,'MLR Data'!$A$2:$D$706,4,0),"")</f>
        <v/>
      </c>
      <c r="E435" s="3" t="s">
        <v>853</v>
      </c>
    </row>
    <row r="436" spans="1:5" x14ac:dyDescent="0.3">
      <c r="A436" t="str">
        <f t="shared" si="6"/>
        <v>MI Molina Healthcare of Michigan</v>
      </c>
      <c r="B436" s="1" t="s">
        <v>592</v>
      </c>
      <c r="C436" s="1" t="s">
        <v>599</v>
      </c>
      <c r="D436" s="1" t="str">
        <f>IFERROR(VLOOKUP(A436,'MLR Data'!$A$2:$D$706,4,0),"")</f>
        <v/>
      </c>
      <c r="E436" s="3" t="s">
        <v>853</v>
      </c>
    </row>
    <row r="437" spans="1:5" x14ac:dyDescent="0.3">
      <c r="A437" t="str">
        <f t="shared" si="6"/>
        <v>MN PrimeWest Health</v>
      </c>
      <c r="B437" s="1" t="s">
        <v>608</v>
      </c>
      <c r="C437" s="1" t="s">
        <v>615</v>
      </c>
      <c r="D437" s="1" t="str">
        <f>IFERROR(VLOOKUP(A437,'MLR Data'!$A$2:$D$706,4,0),"")</f>
        <v/>
      </c>
      <c r="E437" s="3" t="s">
        <v>853</v>
      </c>
    </row>
    <row r="438" spans="1:5" x14ac:dyDescent="0.3">
      <c r="A438" t="str">
        <f t="shared" si="6"/>
        <v>MN Primewest Health</v>
      </c>
      <c r="B438" s="1" t="s">
        <v>608</v>
      </c>
      <c r="C438" s="1" t="s">
        <v>616</v>
      </c>
      <c r="D438" s="1" t="str">
        <f>IFERROR(VLOOKUP(A438,'MLR Data'!$A$2:$D$706,4,0),"")</f>
        <v/>
      </c>
      <c r="E438" s="3" t="s">
        <v>853</v>
      </c>
    </row>
    <row r="439" spans="1:5" x14ac:dyDescent="0.3">
      <c r="A439" t="str">
        <f t="shared" si="6"/>
        <v>MS Cigna-HealthSpring</v>
      </c>
      <c r="B439" s="1" t="s">
        <v>626</v>
      </c>
      <c r="C439" s="1" t="s">
        <v>373</v>
      </c>
      <c r="D439" s="1" t="str">
        <f>IFERROR(VLOOKUP(A439,'MLR Data'!$A$2:$D$706,4,0),"")</f>
        <v/>
      </c>
      <c r="E439" s="5" t="s">
        <v>9</v>
      </c>
    </row>
    <row r="440" spans="1:5" x14ac:dyDescent="0.3">
      <c r="A440" t="str">
        <f t="shared" si="6"/>
        <v>MT Sterling Life Insurance Company</v>
      </c>
      <c r="B440" s="1" t="s">
        <v>628</v>
      </c>
      <c r="C440" s="1" t="s">
        <v>391</v>
      </c>
      <c r="D440" s="1" t="str">
        <f>IFERROR(VLOOKUP(A440,'MLR Data'!$A$2:$D$706,4,0),"")</f>
        <v/>
      </c>
      <c r="E440" s="3" t="s">
        <v>853</v>
      </c>
    </row>
    <row r="441" spans="1:5" x14ac:dyDescent="0.3">
      <c r="A441" t="str">
        <f t="shared" si="6"/>
        <v>NE Universal American</v>
      </c>
      <c r="B441" s="1" t="s">
        <v>638</v>
      </c>
      <c r="C441" s="1" t="s">
        <v>384</v>
      </c>
      <c r="D441" s="1" t="str">
        <f>IFERROR(VLOOKUP(A441,'MLR Data'!$A$2:$D$706,4,0),"")</f>
        <v/>
      </c>
      <c r="E441" s="3" t="s">
        <v>853</v>
      </c>
    </row>
    <row r="442" spans="1:5" x14ac:dyDescent="0.3">
      <c r="A442" t="str">
        <f t="shared" si="6"/>
        <v>NJ UnitedHealthcare Community Plan</v>
      </c>
      <c r="B442" s="1" t="s">
        <v>641</v>
      </c>
      <c r="C442" s="1" t="s">
        <v>389</v>
      </c>
      <c r="D442" s="1" t="str">
        <f>IFERROR(VLOOKUP(A442,'MLR Data'!$A$2:$D$706,4,0),"")</f>
        <v/>
      </c>
      <c r="E442" s="5" t="s">
        <v>20</v>
      </c>
    </row>
    <row r="443" spans="1:5" x14ac:dyDescent="0.3">
      <c r="A443" t="str">
        <f t="shared" si="6"/>
        <v>NJ AmeriHealth 65</v>
      </c>
      <c r="B443" s="1" t="s">
        <v>641</v>
      </c>
      <c r="C443" s="1" t="s">
        <v>643</v>
      </c>
      <c r="D443" s="1" t="str">
        <f>IFERROR(VLOOKUP(A443,'MLR Data'!$A$2:$D$706,4,0),"")</f>
        <v/>
      </c>
      <c r="E443" s="5" t="s">
        <v>204</v>
      </c>
    </row>
    <row r="444" spans="1:5" x14ac:dyDescent="0.3">
      <c r="A444" t="str">
        <f t="shared" si="6"/>
        <v>NJ SecureHorizons</v>
      </c>
      <c r="B444" s="1" t="s">
        <v>641</v>
      </c>
      <c r="C444" s="1" t="s">
        <v>374</v>
      </c>
      <c r="D444" s="1" t="str">
        <f>IFERROR(VLOOKUP(A444,'MLR Data'!$A$2:$D$706,4,0),"")</f>
        <v/>
      </c>
      <c r="E444" s="5" t="s">
        <v>20</v>
      </c>
    </row>
    <row r="445" spans="1:5" x14ac:dyDescent="0.3">
      <c r="A445" t="str">
        <f t="shared" si="6"/>
        <v>NV Health Plan of Nevada, Inc.</v>
      </c>
      <c r="B445" s="1" t="s">
        <v>660</v>
      </c>
      <c r="C445" s="1" t="s">
        <v>197</v>
      </c>
      <c r="D445" s="1" t="str">
        <f>IFERROR(VLOOKUP(A445,'MLR Data'!$A$2:$D$706,4,0),"")</f>
        <v>Health Plan of Nevada, Inc.</v>
      </c>
      <c r="E445" s="3" t="s">
        <v>197</v>
      </c>
    </row>
    <row r="446" spans="1:5" x14ac:dyDescent="0.3">
      <c r="A446" t="str">
        <f t="shared" si="6"/>
        <v>NY Senior Whole Health of New York</v>
      </c>
      <c r="B446" s="1" t="s">
        <v>665</v>
      </c>
      <c r="C446" s="1" t="s">
        <v>667</v>
      </c>
      <c r="D446" s="1" t="str">
        <f>IFERROR(VLOOKUP(A446,'MLR Data'!$A$2:$D$706,4,0),"")</f>
        <v/>
      </c>
      <c r="E446" s="3" t="s">
        <v>853</v>
      </c>
    </row>
    <row r="447" spans="1:5" x14ac:dyDescent="0.3">
      <c r="A447" t="str">
        <f t="shared" si="6"/>
        <v>OH Evercare® by UnitedHealthcare</v>
      </c>
      <c r="B447" s="1" t="s">
        <v>710</v>
      </c>
      <c r="C447" s="1" t="s">
        <v>396</v>
      </c>
      <c r="D447" s="1" t="str">
        <f>IFERROR(VLOOKUP(A447,'MLR Data'!$A$2:$D$706,4,0),"")</f>
        <v/>
      </c>
      <c r="E447" s="5" t="s">
        <v>20</v>
      </c>
    </row>
    <row r="448" spans="1:5" x14ac:dyDescent="0.3">
      <c r="A448" t="str">
        <f t="shared" si="6"/>
        <v>OH Paramount Elite</v>
      </c>
      <c r="B448" s="1" t="s">
        <v>710</v>
      </c>
      <c r="C448" s="1" t="s">
        <v>603</v>
      </c>
      <c r="D448" s="1" t="str">
        <f>IFERROR(VLOOKUP(A448,'MLR Data'!$A$2:$D$706,4,0),"")</f>
        <v/>
      </c>
      <c r="E448" s="5" t="s">
        <v>247</v>
      </c>
    </row>
    <row r="449" spans="1:5" x14ac:dyDescent="0.3">
      <c r="A449" t="str">
        <f t="shared" si="6"/>
        <v>OK Sterling Life Insurance Company</v>
      </c>
      <c r="B449" s="1" t="s">
        <v>722</v>
      </c>
      <c r="C449" s="1" t="s">
        <v>391</v>
      </c>
      <c r="D449" s="1" t="str">
        <f>IFERROR(VLOOKUP(A449,'MLR Data'!$A$2:$D$706,4,0),"")</f>
        <v/>
      </c>
      <c r="E449" s="3" t="s">
        <v>853</v>
      </c>
    </row>
    <row r="450" spans="1:5" x14ac:dyDescent="0.3">
      <c r="A450" t="str">
        <f t="shared" ref="A450:A513" si="7">B450&amp;" "&amp;C450</f>
        <v>OR Clear One Health Plans</v>
      </c>
      <c r="B450" s="1" t="s">
        <v>728</v>
      </c>
      <c r="C450" s="1" t="s">
        <v>740</v>
      </c>
      <c r="D450" s="1" t="str">
        <f>IFERROR(VLOOKUP(A450,'MLR Data'!$A$2:$D$706,4,0),"")</f>
        <v/>
      </c>
      <c r="E450" s="3" t="s">
        <v>853</v>
      </c>
    </row>
    <row r="451" spans="1:5" x14ac:dyDescent="0.3">
      <c r="A451" t="str">
        <f t="shared" si="7"/>
        <v>PA Today's Option</v>
      </c>
      <c r="B451" s="1" t="s">
        <v>744</v>
      </c>
      <c r="C451" s="1" t="s">
        <v>416</v>
      </c>
      <c r="D451" s="1" t="str">
        <f>IFERROR(VLOOKUP(A451,'MLR Data'!$A$2:$D$706,4,0),"")</f>
        <v/>
      </c>
      <c r="E451" s="5" t="s">
        <v>15</v>
      </c>
    </row>
    <row r="452" spans="1:5" x14ac:dyDescent="0.3">
      <c r="A452" t="str">
        <f t="shared" si="7"/>
        <v>RI Evercare® by UnitedHealthcare</v>
      </c>
      <c r="B452" s="1" t="s">
        <v>772</v>
      </c>
      <c r="C452" s="1" t="s">
        <v>396</v>
      </c>
      <c r="D452" s="1" t="str">
        <f>IFERROR(VLOOKUP(A452,'MLR Data'!$A$2:$D$706,4,0),"")</f>
        <v/>
      </c>
      <c r="E452" s="5" t="s">
        <v>20</v>
      </c>
    </row>
    <row r="453" spans="1:5" x14ac:dyDescent="0.3">
      <c r="A453" t="str">
        <f t="shared" si="7"/>
        <v>SC Advantra® Freedom</v>
      </c>
      <c r="B453" s="1" t="s">
        <v>775</v>
      </c>
      <c r="C453" s="1" t="s">
        <v>387</v>
      </c>
      <c r="D453" s="1" t="str">
        <f>IFERROR(VLOOKUP(A453,'MLR Data'!$A$2:$D$706,4,0),"")</f>
        <v/>
      </c>
      <c r="E453" s="5" t="s">
        <v>4</v>
      </c>
    </row>
    <row r="454" spans="1:5" x14ac:dyDescent="0.3">
      <c r="A454" t="str">
        <f t="shared" si="7"/>
        <v>SC Universal American</v>
      </c>
      <c r="B454" s="1" t="s">
        <v>775</v>
      </c>
      <c r="C454" s="1" t="s">
        <v>384</v>
      </c>
      <c r="D454" s="1" t="str">
        <f>IFERROR(VLOOKUP(A454,'MLR Data'!$A$2:$D$706,4,0),"")</f>
        <v/>
      </c>
      <c r="E454" s="3" t="s">
        <v>853</v>
      </c>
    </row>
    <row r="455" spans="1:5" x14ac:dyDescent="0.3">
      <c r="A455" t="str">
        <f t="shared" si="7"/>
        <v>TX Advantra® Freedom</v>
      </c>
      <c r="B455" s="1" t="s">
        <v>791</v>
      </c>
      <c r="C455" s="1" t="s">
        <v>387</v>
      </c>
      <c r="D455" s="1" t="str">
        <f>IFERROR(VLOOKUP(A455,'MLR Data'!$A$2:$D$706,4,0),"")</f>
        <v/>
      </c>
      <c r="E455" s="5" t="s">
        <v>308</v>
      </c>
    </row>
    <row r="456" spans="1:5" x14ac:dyDescent="0.3">
      <c r="A456" t="str">
        <f t="shared" si="7"/>
        <v>TX KelseyCare Advantage</v>
      </c>
      <c r="B456" s="1" t="s">
        <v>791</v>
      </c>
      <c r="C456" s="1" t="s">
        <v>806</v>
      </c>
      <c r="D456" s="1" t="str">
        <f>IFERROR(VLOOKUP(A456,'MLR Data'!$A$2:$D$706,4,0),"")</f>
        <v/>
      </c>
      <c r="E456" s="3" t="s">
        <v>853</v>
      </c>
    </row>
    <row r="457" spans="1:5" x14ac:dyDescent="0.3">
      <c r="A457" t="str">
        <f t="shared" si="7"/>
        <v>UT Unicare Life &amp; Health Ins. Company</v>
      </c>
      <c r="B457" s="1" t="s">
        <v>813</v>
      </c>
      <c r="C457" s="1" t="s">
        <v>415</v>
      </c>
      <c r="D457" s="1" t="str">
        <f>IFERROR(VLOOKUP(A457,'MLR Data'!$A$2:$D$706,4,0),"")</f>
        <v/>
      </c>
      <c r="E457" s="5" t="s">
        <v>16</v>
      </c>
    </row>
    <row r="458" spans="1:5" x14ac:dyDescent="0.3">
      <c r="A458" t="str">
        <f t="shared" si="7"/>
        <v>VA Universal American</v>
      </c>
      <c r="B458" s="1" t="s">
        <v>819</v>
      </c>
      <c r="C458" s="1" t="s">
        <v>384</v>
      </c>
      <c r="D458" s="1" t="str">
        <f>IFERROR(VLOOKUP(A458,'MLR Data'!$A$2:$D$706,4,0),"")</f>
        <v/>
      </c>
      <c r="E458" s="3" t="s">
        <v>853</v>
      </c>
    </row>
    <row r="459" spans="1:5" x14ac:dyDescent="0.3">
      <c r="A459" t="str">
        <f t="shared" si="7"/>
        <v>WA Kaiser Foundation Health Plan of the NW</v>
      </c>
      <c r="B459" s="1" t="s">
        <v>824</v>
      </c>
      <c r="C459" s="1" t="s">
        <v>729</v>
      </c>
      <c r="D459" s="1" t="str">
        <f>IFERROR(VLOOKUP(A459,'MLR Data'!$A$2:$D$706,4,0),"")</f>
        <v/>
      </c>
      <c r="E459" s="5" t="s">
        <v>257</v>
      </c>
    </row>
    <row r="460" spans="1:5" x14ac:dyDescent="0.3">
      <c r="A460" t="str">
        <f t="shared" si="7"/>
        <v>WI Universal American Corp.</v>
      </c>
      <c r="B460" s="1" t="s">
        <v>830</v>
      </c>
      <c r="C460" s="1" t="s">
        <v>383</v>
      </c>
      <c r="D460" s="1" t="str">
        <f>IFERROR(VLOOKUP(A460,'MLR Data'!$A$2:$D$706,4,0),"")</f>
        <v/>
      </c>
      <c r="E460" s="3" t="s">
        <v>853</v>
      </c>
    </row>
    <row r="461" spans="1:5" x14ac:dyDescent="0.3">
      <c r="A461" t="str">
        <f t="shared" si="7"/>
        <v>WI Medica Insurance Company</v>
      </c>
      <c r="B461" s="1" t="s">
        <v>830</v>
      </c>
      <c r="C461" s="1" t="s">
        <v>184</v>
      </c>
      <c r="D461" s="1" t="str">
        <f>IFERROR(VLOOKUP(A461,'MLR Data'!$A$2:$D$706,4,0),"")</f>
        <v>Medica Insurance Company</v>
      </c>
      <c r="E461" s="3" t="s">
        <v>184</v>
      </c>
    </row>
    <row r="462" spans="1:5" x14ac:dyDescent="0.3">
      <c r="A462" t="str">
        <f t="shared" si="7"/>
        <v>AZ SecureHorizons MedicareDirect</v>
      </c>
      <c r="B462" s="1" t="s">
        <v>388</v>
      </c>
      <c r="C462" s="1" t="s">
        <v>390</v>
      </c>
      <c r="D462" s="1" t="str">
        <f>IFERROR(VLOOKUP(A462,'MLR Data'!$A$2:$D$706,4,0),"")</f>
        <v/>
      </c>
      <c r="E462" s="5" t="s">
        <v>20</v>
      </c>
    </row>
    <row r="463" spans="1:5" x14ac:dyDescent="0.3">
      <c r="A463" t="str">
        <f t="shared" si="7"/>
        <v>AZ Humana Health Plan, Inc.</v>
      </c>
      <c r="B463" s="1" t="s">
        <v>388</v>
      </c>
      <c r="C463" s="1" t="s">
        <v>13</v>
      </c>
      <c r="D463" s="1" t="str">
        <f>IFERROR(VLOOKUP(A463,'MLR Data'!$A$2:$D$706,4,0),"")</f>
        <v>Humana Health Plan, Inc.</v>
      </c>
      <c r="E463" s="5" t="s">
        <v>13</v>
      </c>
    </row>
    <row r="464" spans="1:5" x14ac:dyDescent="0.3">
      <c r="A464" t="str">
        <f t="shared" si="7"/>
        <v>AZ Secure Horizons Medicare Advantage Plan</v>
      </c>
      <c r="B464" s="1" t="s">
        <v>388</v>
      </c>
      <c r="C464" s="1" t="s">
        <v>414</v>
      </c>
      <c r="D464" s="1" t="str">
        <f>IFERROR(VLOOKUP(A464,'MLR Data'!$A$2:$D$706,4,0),"")</f>
        <v/>
      </c>
      <c r="E464" s="3" t="s">
        <v>20</v>
      </c>
    </row>
    <row r="465" spans="1:5" x14ac:dyDescent="0.3">
      <c r="A465" t="str">
        <f t="shared" si="7"/>
        <v>CA Universal American</v>
      </c>
      <c r="B465" s="1" t="s">
        <v>418</v>
      </c>
      <c r="C465" s="1" t="s">
        <v>384</v>
      </c>
      <c r="D465" s="1" t="str">
        <f>IFERROR(VLOOKUP(A465,'MLR Data'!$A$2:$D$706,4,0),"")</f>
        <v/>
      </c>
      <c r="E465" s="3" t="s">
        <v>853</v>
      </c>
    </row>
    <row r="466" spans="1:5" x14ac:dyDescent="0.3">
      <c r="A466" t="str">
        <f t="shared" si="7"/>
        <v>CA Blue Shield of California</v>
      </c>
      <c r="B466" s="1" t="s">
        <v>418</v>
      </c>
      <c r="C466" s="1" t="s">
        <v>446</v>
      </c>
      <c r="D466" s="1" t="str">
        <f>IFERROR(VLOOKUP(A466,'MLR Data'!$A$2:$D$706,4,0),"")</f>
        <v/>
      </c>
      <c r="E466" s="5" t="s">
        <v>42</v>
      </c>
    </row>
    <row r="467" spans="1:5" x14ac:dyDescent="0.3">
      <c r="A467" t="str">
        <f t="shared" si="7"/>
        <v>CA Health Net Pearl</v>
      </c>
      <c r="B467" s="1" t="s">
        <v>418</v>
      </c>
      <c r="C467" s="1" t="s">
        <v>451</v>
      </c>
      <c r="D467" s="1" t="str">
        <f>IFERROR(VLOOKUP(A467,'MLR Data'!$A$2:$D$706,4,0),"")</f>
        <v/>
      </c>
      <c r="E467" s="5" t="s">
        <v>47</v>
      </c>
    </row>
    <row r="468" spans="1:5" x14ac:dyDescent="0.3">
      <c r="A468" t="str">
        <f t="shared" si="7"/>
        <v>CO Humana Health Plan, Inc.</v>
      </c>
      <c r="B468" s="1" t="s">
        <v>464</v>
      </c>
      <c r="C468" s="1" t="s">
        <v>13</v>
      </c>
      <c r="D468" s="1" t="str">
        <f>IFERROR(VLOOKUP(A468,'MLR Data'!$A$2:$D$706,4,0),"")</f>
        <v>Humana Health Plan, Inc.</v>
      </c>
      <c r="E468" s="3" t="s">
        <v>13</v>
      </c>
    </row>
    <row r="469" spans="1:5" x14ac:dyDescent="0.3">
      <c r="A469" t="str">
        <f t="shared" si="7"/>
        <v>CT Aetna Health Inc.</v>
      </c>
      <c r="B469" s="1" t="s">
        <v>474</v>
      </c>
      <c r="C469" s="1" t="s">
        <v>477</v>
      </c>
      <c r="D469" s="1" t="str">
        <f>IFERROR(VLOOKUP(A469,'MLR Data'!$A$2:$D$706,4,0),"")</f>
        <v/>
      </c>
      <c r="E469" s="5" t="s">
        <v>60</v>
      </c>
    </row>
    <row r="470" spans="1:5" x14ac:dyDescent="0.3">
      <c r="A470" t="str">
        <f t="shared" si="7"/>
        <v>DE Aetna Medicare</v>
      </c>
      <c r="B470" s="1" t="s">
        <v>479</v>
      </c>
      <c r="C470" s="1" t="s">
        <v>407</v>
      </c>
      <c r="D470" s="1" t="s">
        <v>26</v>
      </c>
      <c r="E470" s="3" t="s">
        <v>853</v>
      </c>
    </row>
    <row r="471" spans="1:5" x14ac:dyDescent="0.3">
      <c r="A471" t="str">
        <f t="shared" si="7"/>
        <v>GA AARP MedicareComplete from SecureHorizons</v>
      </c>
      <c r="B471" s="1" t="s">
        <v>523</v>
      </c>
      <c r="C471" s="1" t="s">
        <v>473</v>
      </c>
      <c r="D471" s="1" t="str">
        <f>IFERROR(VLOOKUP(A471,'MLR Data'!$A$2:$D$706,4,0),"")</f>
        <v/>
      </c>
      <c r="E471" s="5" t="s">
        <v>20</v>
      </c>
    </row>
    <row r="472" spans="1:5" x14ac:dyDescent="0.3">
      <c r="A472" t="str">
        <f t="shared" si="7"/>
        <v>GA Universal American</v>
      </c>
      <c r="B472" s="1" t="s">
        <v>523</v>
      </c>
      <c r="C472" s="1" t="s">
        <v>384</v>
      </c>
      <c r="D472" s="1" t="str">
        <f>IFERROR(VLOOKUP(A472,'MLR Data'!$A$2:$D$706,4,0),"")</f>
        <v/>
      </c>
      <c r="E472" s="3" t="s">
        <v>853</v>
      </c>
    </row>
    <row r="473" spans="1:5" x14ac:dyDescent="0.3">
      <c r="A473" t="str">
        <f t="shared" si="7"/>
        <v>HI Kaiser Foundation Health Plan, Inc. (Hawaii)</v>
      </c>
      <c r="B473" s="1" t="s">
        <v>529</v>
      </c>
      <c r="C473" s="1" t="s">
        <v>530</v>
      </c>
      <c r="D473" s="1" t="str">
        <f>IFERROR(VLOOKUP(A473,'MLR Data'!$A$2:$D$706,4,0),"")</f>
        <v/>
      </c>
      <c r="E473" s="5" t="s">
        <v>48</v>
      </c>
    </row>
    <row r="474" spans="1:5" x14ac:dyDescent="0.3">
      <c r="A474" t="str">
        <f t="shared" si="7"/>
        <v>IL Mercy Health Plans of Missouri, Inc.</v>
      </c>
      <c r="B474" s="1" t="s">
        <v>543</v>
      </c>
      <c r="C474" s="1" t="s">
        <v>547</v>
      </c>
      <c r="D474" s="1" t="str">
        <f>IFERROR(VLOOKUP(A474,'MLR Data'!$A$2:$D$706,4,0),"")</f>
        <v/>
      </c>
      <c r="E474" s="3" t="s">
        <v>853</v>
      </c>
    </row>
    <row r="475" spans="1:5" x14ac:dyDescent="0.3">
      <c r="A475" t="str">
        <f t="shared" si="7"/>
        <v>IL Essence Healthcare</v>
      </c>
      <c r="B475" s="1" t="s">
        <v>543</v>
      </c>
      <c r="C475" s="1" t="s">
        <v>548</v>
      </c>
      <c r="D475" s="1" t="str">
        <f>IFERROR(VLOOKUP(A475,'MLR Data'!$A$2:$D$706,4,0),"")</f>
        <v/>
      </c>
      <c r="E475" s="3" t="s">
        <v>853</v>
      </c>
    </row>
    <row r="476" spans="1:5" x14ac:dyDescent="0.3">
      <c r="A476" t="str">
        <f t="shared" si="7"/>
        <v>KS Advantra® Freedom</v>
      </c>
      <c r="B476" s="1" t="s">
        <v>555</v>
      </c>
      <c r="C476" s="1" t="s">
        <v>387</v>
      </c>
      <c r="D476" s="1" t="str">
        <f>IFERROR(VLOOKUP(A476,'MLR Data'!$A$2:$D$706,4,0),"")</f>
        <v/>
      </c>
      <c r="E476" s="5" t="s">
        <v>4</v>
      </c>
    </row>
    <row r="477" spans="1:5" x14ac:dyDescent="0.3">
      <c r="A477" t="str">
        <f t="shared" si="7"/>
        <v>LA Sterling Life Insurance Company</v>
      </c>
      <c r="B477" s="1" t="s">
        <v>561</v>
      </c>
      <c r="C477" s="1" t="s">
        <v>391</v>
      </c>
      <c r="D477" s="1" t="str">
        <f>IFERROR(VLOOKUP(A477,'MLR Data'!$A$2:$D$706,4,0),"")</f>
        <v/>
      </c>
      <c r="E477" s="3" t="s">
        <v>853</v>
      </c>
    </row>
    <row r="478" spans="1:5" x14ac:dyDescent="0.3">
      <c r="A478" t="str">
        <f t="shared" si="7"/>
        <v>MA UnitedHealthcare Community Plan</v>
      </c>
      <c r="B478" s="1" t="s">
        <v>569</v>
      </c>
      <c r="C478" s="1" t="s">
        <v>389</v>
      </c>
      <c r="D478" s="1" t="str">
        <f>IFERROR(VLOOKUP(A478,'MLR Data'!$A$2:$D$706,4,0),"")</f>
        <v/>
      </c>
      <c r="E478" s="5" t="s">
        <v>20</v>
      </c>
    </row>
    <row r="479" spans="1:5" x14ac:dyDescent="0.3">
      <c r="A479" t="str">
        <f t="shared" si="7"/>
        <v>MA Erickson Advantage</v>
      </c>
      <c r="B479" s="1" t="s">
        <v>569</v>
      </c>
      <c r="C479" s="1" t="s">
        <v>546</v>
      </c>
      <c r="D479" s="1" t="str">
        <f>IFERROR(VLOOKUP(A479,'MLR Data'!$A$2:$D$706,4,0),"")</f>
        <v/>
      </c>
      <c r="E479" s="3" t="s">
        <v>853</v>
      </c>
    </row>
    <row r="480" spans="1:5" x14ac:dyDescent="0.3">
      <c r="A480" t="str">
        <f t="shared" si="7"/>
        <v>MD Evercare® Health Plans</v>
      </c>
      <c r="B480" s="1" t="s">
        <v>586</v>
      </c>
      <c r="C480" s="1" t="s">
        <v>408</v>
      </c>
      <c r="D480" s="1" t="str">
        <f>IFERROR(VLOOKUP(A480,'MLR Data'!$A$2:$D$706,4,0),"")</f>
        <v/>
      </c>
      <c r="E480" s="5" t="s">
        <v>20</v>
      </c>
    </row>
    <row r="481" spans="1:5" x14ac:dyDescent="0.3">
      <c r="A481" t="str">
        <f t="shared" si="7"/>
        <v>ME Northeast Community Care</v>
      </c>
      <c r="B481" s="1" t="s">
        <v>589</v>
      </c>
      <c r="C481" s="1" t="s">
        <v>591</v>
      </c>
      <c r="D481" s="1" t="str">
        <f>IFERROR(VLOOKUP(A481,'MLR Data'!$A$2:$D$706,4,0),"")</f>
        <v/>
      </c>
      <c r="E481" s="3" t="s">
        <v>853</v>
      </c>
    </row>
    <row r="482" spans="1:5" x14ac:dyDescent="0.3">
      <c r="A482" t="str">
        <f t="shared" si="7"/>
        <v>ME SecureHorizons by UnitedHealthcare</v>
      </c>
      <c r="B482" s="1" t="s">
        <v>589</v>
      </c>
      <c r="C482" s="1" t="s">
        <v>368</v>
      </c>
      <c r="D482" s="1" t="str">
        <f>IFERROR(VLOOKUP(A482,'MLR Data'!$A$2:$D$706,4,0),"")</f>
        <v/>
      </c>
      <c r="E482" s="5" t="s">
        <v>20</v>
      </c>
    </row>
    <row r="483" spans="1:5" x14ac:dyDescent="0.3">
      <c r="A483" t="str">
        <f t="shared" si="7"/>
        <v>MI PriorityMedicare</v>
      </c>
      <c r="B483" s="1" t="s">
        <v>592</v>
      </c>
      <c r="C483" s="1" t="s">
        <v>594</v>
      </c>
      <c r="D483" s="1" t="str">
        <f>IFERROR(VLOOKUP(A483,'MLR Data'!$A$2:$D$706,4,0),"")</f>
        <v/>
      </c>
      <c r="E483" s="5" t="s">
        <v>173</v>
      </c>
    </row>
    <row r="484" spans="1:5" x14ac:dyDescent="0.3">
      <c r="A484" t="str">
        <f t="shared" si="7"/>
        <v>MI Fidelis SecureCare Of Michigan</v>
      </c>
      <c r="B484" s="1" t="s">
        <v>592</v>
      </c>
      <c r="C484" s="1" t="s">
        <v>601</v>
      </c>
      <c r="D484" s="1" t="str">
        <f>IFERROR(VLOOKUP(A484,'MLR Data'!$A$2:$D$706,4,0),"")</f>
        <v/>
      </c>
      <c r="E484" s="3" t="s">
        <v>853</v>
      </c>
    </row>
    <row r="485" spans="1:5" x14ac:dyDescent="0.3">
      <c r="A485" t="str">
        <f t="shared" si="7"/>
        <v>MI Erickson Advantage</v>
      </c>
      <c r="B485" s="1" t="s">
        <v>592</v>
      </c>
      <c r="C485" s="1" t="s">
        <v>546</v>
      </c>
      <c r="D485" s="1" t="str">
        <f>IFERROR(VLOOKUP(A485,'MLR Data'!$A$2:$D$706,4,0),"")</f>
        <v/>
      </c>
      <c r="E485" s="3" t="s">
        <v>853</v>
      </c>
    </row>
    <row r="486" spans="1:5" x14ac:dyDescent="0.3">
      <c r="A486" t="str">
        <f t="shared" si="7"/>
        <v>MN HealthPartners Classic MN Senior Health Options</v>
      </c>
      <c r="B486" s="1" t="s">
        <v>608</v>
      </c>
      <c r="C486" s="1" t="s">
        <v>612</v>
      </c>
      <c r="D486" s="1" t="str">
        <f>IFERROR(VLOOKUP(A486,'MLR Data'!$A$2:$D$706,4,0),"")</f>
        <v/>
      </c>
      <c r="E486" s="5" t="s">
        <v>181</v>
      </c>
    </row>
    <row r="487" spans="1:5" x14ac:dyDescent="0.3">
      <c r="A487" t="str">
        <f t="shared" si="7"/>
        <v>MO Universal American</v>
      </c>
      <c r="B487" s="1" t="s">
        <v>621</v>
      </c>
      <c r="C487" s="1" t="s">
        <v>384</v>
      </c>
      <c r="D487" s="1" t="str">
        <f>IFERROR(VLOOKUP(A487,'MLR Data'!$A$2:$D$706,4,0),"")</f>
        <v/>
      </c>
      <c r="E487" s="3" t="s">
        <v>853</v>
      </c>
    </row>
    <row r="488" spans="1:5" x14ac:dyDescent="0.3">
      <c r="A488" t="str">
        <f t="shared" si="7"/>
        <v>MO AARP MedicareComplete from SecureHorizons</v>
      </c>
      <c r="B488" s="1" t="s">
        <v>621</v>
      </c>
      <c r="C488" s="1" t="s">
        <v>473</v>
      </c>
      <c r="D488" s="1" t="str">
        <f>IFERROR(VLOOKUP(A488,'MLR Data'!$A$2:$D$706,4,0),"")</f>
        <v/>
      </c>
      <c r="E488" s="5" t="s">
        <v>20</v>
      </c>
    </row>
    <row r="489" spans="1:5" x14ac:dyDescent="0.3">
      <c r="A489" t="str">
        <f t="shared" si="7"/>
        <v>ND Advantra® Freedom</v>
      </c>
      <c r="B489" s="1" t="s">
        <v>637</v>
      </c>
      <c r="C489" s="1" t="s">
        <v>387</v>
      </c>
      <c r="D489" s="1" t="str">
        <f>IFERROR(VLOOKUP(A489,'MLR Data'!$A$2:$D$706,4,0),"")</f>
        <v/>
      </c>
      <c r="E489" s="5" t="s">
        <v>4</v>
      </c>
    </row>
    <row r="490" spans="1:5" x14ac:dyDescent="0.3">
      <c r="A490" t="str">
        <f t="shared" si="7"/>
        <v>NE Coventry Health Care of Nebraska Advantra</v>
      </c>
      <c r="B490" s="1" t="s">
        <v>638</v>
      </c>
      <c r="C490" s="1" t="s">
        <v>639</v>
      </c>
      <c r="D490" s="1" t="str">
        <f>IFERROR(VLOOKUP(A490,'MLR Data'!$A$2:$D$706,4,0),"")</f>
        <v/>
      </c>
      <c r="E490" s="5" t="s">
        <v>195</v>
      </c>
    </row>
    <row r="491" spans="1:5" x14ac:dyDescent="0.3">
      <c r="A491" t="str">
        <f t="shared" si="7"/>
        <v>NJ Erickson Advantage</v>
      </c>
      <c r="B491" s="1" t="s">
        <v>641</v>
      </c>
      <c r="C491" s="1" t="s">
        <v>546</v>
      </c>
      <c r="D491" s="1" t="str">
        <f>IFERROR(VLOOKUP(A491,'MLR Data'!$A$2:$D$706,4,0),"")</f>
        <v/>
      </c>
      <c r="E491" s="3" t="s">
        <v>853</v>
      </c>
    </row>
    <row r="492" spans="1:5" x14ac:dyDescent="0.3">
      <c r="A492" t="str">
        <f t="shared" si="7"/>
        <v>NV Anthem Blue Cross and Blue Shield</v>
      </c>
      <c r="B492" s="1" t="s">
        <v>660</v>
      </c>
      <c r="C492" s="1" t="s">
        <v>467</v>
      </c>
      <c r="D492" s="1" t="str">
        <f>IFERROR(VLOOKUP(A492,'MLR Data'!$A$2:$D$706,4,0),"")</f>
        <v/>
      </c>
      <c r="E492" s="3" t="s">
        <v>853</v>
      </c>
    </row>
    <row r="493" spans="1:5" x14ac:dyDescent="0.3">
      <c r="A493" t="str">
        <f t="shared" si="7"/>
        <v>NY MetroPlus Health Plan</v>
      </c>
      <c r="B493" s="1" t="s">
        <v>665</v>
      </c>
      <c r="C493" s="1" t="s">
        <v>679</v>
      </c>
      <c r="D493" s="1" t="str">
        <f>IFERROR(VLOOKUP(A493,'MLR Data'!$A$2:$D$706,4,0),"")</f>
        <v/>
      </c>
      <c r="E493" s="3" t="s">
        <v>853</v>
      </c>
    </row>
    <row r="494" spans="1:5" x14ac:dyDescent="0.3">
      <c r="A494" t="str">
        <f t="shared" si="7"/>
        <v>NY Health Plus Elite</v>
      </c>
      <c r="B494" s="1" t="s">
        <v>665</v>
      </c>
      <c r="C494" s="1" t="s">
        <v>688</v>
      </c>
      <c r="D494" s="1" t="str">
        <f>IFERROR(VLOOKUP(A494,'MLR Data'!$A$2:$D$706,4,0),"")</f>
        <v/>
      </c>
      <c r="E494" s="3" t="s">
        <v>853</v>
      </c>
    </row>
    <row r="495" spans="1:5" x14ac:dyDescent="0.3">
      <c r="A495" t="str">
        <f t="shared" si="7"/>
        <v>NY Excellus Health Plan, Inc</v>
      </c>
      <c r="B495" s="1" t="s">
        <v>665</v>
      </c>
      <c r="C495" s="1" t="s">
        <v>223</v>
      </c>
      <c r="D495" s="1" t="str">
        <f>IFERROR(VLOOKUP(A495,'MLR Data'!$A$2:$D$706,4,0),"")</f>
        <v>Excellus Health Plan, Inc</v>
      </c>
      <c r="E495" s="3" t="s">
        <v>223</v>
      </c>
    </row>
    <row r="496" spans="1:5" x14ac:dyDescent="0.3">
      <c r="A496" t="str">
        <f t="shared" si="7"/>
        <v>OH Humana Health Plan of Ohio, Inc.</v>
      </c>
      <c r="B496" s="1" t="s">
        <v>710</v>
      </c>
      <c r="C496" s="1" t="s">
        <v>132</v>
      </c>
      <c r="D496" s="1" t="str">
        <f>IFERROR(VLOOKUP(A496,'MLR Data'!$A$2:$D$706,4,0),"")</f>
        <v>Humana Health Plan of Ohio, Inc.</v>
      </c>
      <c r="E496" s="3" t="s">
        <v>132</v>
      </c>
    </row>
    <row r="497" spans="1:5" x14ac:dyDescent="0.3">
      <c r="A497" t="str">
        <f t="shared" si="7"/>
        <v>OR Regence BlueCross BlueShield of Oregon</v>
      </c>
      <c r="B497" s="1" t="s">
        <v>728</v>
      </c>
      <c r="C497" s="1" t="s">
        <v>264</v>
      </c>
      <c r="D497" s="1" t="str">
        <f>IFERROR(VLOOKUP(A497,'MLR Data'!$A$2:$D$706,4,0),"")</f>
        <v>Regence BlueCross BlueShield of Oregon</v>
      </c>
      <c r="E497" s="3" t="s">
        <v>264</v>
      </c>
    </row>
    <row r="498" spans="1:5" x14ac:dyDescent="0.3">
      <c r="A498" t="str">
        <f t="shared" si="7"/>
        <v>OR Health Net Medicare Advantage</v>
      </c>
      <c r="B498" s="1" t="s">
        <v>728</v>
      </c>
      <c r="C498" s="1" t="s">
        <v>734</v>
      </c>
      <c r="D498" s="1" t="str">
        <f>IFERROR(VLOOKUP(A498,'MLR Data'!$A$2:$D$706,4,0),"")</f>
        <v/>
      </c>
      <c r="E498" s="5" t="s">
        <v>256</v>
      </c>
    </row>
    <row r="499" spans="1:5" x14ac:dyDescent="0.3">
      <c r="A499" t="str">
        <f t="shared" si="7"/>
        <v>OR SecureHorizons MedicareDirect</v>
      </c>
      <c r="B499" s="1" t="s">
        <v>728</v>
      </c>
      <c r="C499" s="1" t="s">
        <v>390</v>
      </c>
      <c r="D499" s="1" t="str">
        <f>IFERROR(VLOOKUP(A499,'MLR Data'!$A$2:$D$706,4,0),"")</f>
        <v/>
      </c>
      <c r="E499" s="5" t="s">
        <v>20</v>
      </c>
    </row>
    <row r="500" spans="1:5" x14ac:dyDescent="0.3">
      <c r="A500" t="str">
        <f t="shared" si="7"/>
        <v>OR Regence BlueCross BlueShield Of Oregon</v>
      </c>
      <c r="B500" s="1" t="s">
        <v>728</v>
      </c>
      <c r="C500" s="1" t="s">
        <v>735</v>
      </c>
      <c r="D500" s="1" t="str">
        <f>IFERROR(VLOOKUP(A500,'MLR Data'!$A$2:$D$706,4,0),"")</f>
        <v>Regence BlueCross BlueShield of Oregon</v>
      </c>
      <c r="E500" s="3" t="s">
        <v>264</v>
      </c>
    </row>
    <row r="501" spans="1:5" x14ac:dyDescent="0.3">
      <c r="A501" t="str">
        <f t="shared" si="7"/>
        <v>OR Marion Polk Community Health Plan Advantage, Inc.</v>
      </c>
      <c r="B501" s="1" t="s">
        <v>728</v>
      </c>
      <c r="C501" s="1" t="s">
        <v>742</v>
      </c>
      <c r="D501" s="1" t="str">
        <f>IFERROR(VLOOKUP(A501,'MLR Data'!$A$2:$D$706,4,0),"")</f>
        <v/>
      </c>
      <c r="E501" s="3" t="s">
        <v>853</v>
      </c>
    </row>
    <row r="502" spans="1:5" x14ac:dyDescent="0.3">
      <c r="A502" t="str">
        <f t="shared" si="7"/>
        <v>PA Erickson Advantage</v>
      </c>
      <c r="B502" s="1" t="s">
        <v>744</v>
      </c>
      <c r="C502" s="1" t="s">
        <v>546</v>
      </c>
      <c r="D502" s="1" t="str">
        <f>IFERROR(VLOOKUP(A502,'MLR Data'!$A$2:$D$706,4,0),"")</f>
        <v/>
      </c>
      <c r="E502" s="3" t="s">
        <v>853</v>
      </c>
    </row>
    <row r="503" spans="1:5" x14ac:dyDescent="0.3">
      <c r="A503" t="str">
        <f t="shared" si="7"/>
        <v>TX Sterling Life Insurance Company</v>
      </c>
      <c r="B503" s="1" t="s">
        <v>791</v>
      </c>
      <c r="C503" s="1" t="s">
        <v>391</v>
      </c>
      <c r="D503" s="1" t="str">
        <f>IFERROR(VLOOKUP(A503,'MLR Data'!$A$2:$D$706,4,0),"")</f>
        <v/>
      </c>
      <c r="E503" s="3" t="s">
        <v>853</v>
      </c>
    </row>
    <row r="504" spans="1:5" x14ac:dyDescent="0.3">
      <c r="A504" t="str">
        <f t="shared" si="7"/>
        <v>TX FirstCare Advantage</v>
      </c>
      <c r="B504" s="1" t="s">
        <v>791</v>
      </c>
      <c r="C504" s="1" t="s">
        <v>807</v>
      </c>
      <c r="D504" s="1" t="str">
        <f>IFERROR(VLOOKUP(A504,'MLR Data'!$A$2:$D$706,4,0),"")</f>
        <v/>
      </c>
      <c r="E504" s="5" t="s">
        <v>311</v>
      </c>
    </row>
    <row r="505" spans="1:5" x14ac:dyDescent="0.3">
      <c r="A505" t="str">
        <f t="shared" si="7"/>
        <v>VA Optima Medicare Preferred</v>
      </c>
      <c r="B505" s="1" t="s">
        <v>819</v>
      </c>
      <c r="C505" s="1" t="s">
        <v>821</v>
      </c>
      <c r="D505" s="1" t="str">
        <f>IFERROR(VLOOKUP(A505,'MLR Data'!$A$2:$D$706,4,0),"")</f>
        <v/>
      </c>
      <c r="E505" s="5" t="s">
        <v>328</v>
      </c>
    </row>
    <row r="506" spans="1:5" x14ac:dyDescent="0.3">
      <c r="A506" t="str">
        <f t="shared" si="7"/>
        <v>VA Anthem Insurance Companies, Inc.</v>
      </c>
      <c r="B506" s="1" t="s">
        <v>819</v>
      </c>
      <c r="C506" s="1" t="s">
        <v>118</v>
      </c>
      <c r="D506" s="1" t="str">
        <f>IFERROR(VLOOKUP(A506,'MLR Data'!$A$2:$D$706,4,0),"")</f>
        <v/>
      </c>
      <c r="E506" s="5" t="s">
        <v>326</v>
      </c>
    </row>
    <row r="507" spans="1:5" x14ac:dyDescent="0.3">
      <c r="A507" t="str">
        <f t="shared" si="7"/>
        <v>VT SecureHorizons by UnitedHealthcare</v>
      </c>
      <c r="B507" s="1" t="s">
        <v>823</v>
      </c>
      <c r="C507" s="1" t="s">
        <v>368</v>
      </c>
      <c r="D507" s="1" t="str">
        <f>IFERROR(VLOOKUP(A507,'MLR Data'!$A$2:$D$706,4,0),"")</f>
        <v/>
      </c>
      <c r="E507" s="5" t="s">
        <v>20</v>
      </c>
    </row>
    <row r="508" spans="1:5" x14ac:dyDescent="0.3">
      <c r="A508" t="str">
        <f t="shared" si="7"/>
        <v>WI Humana Wisconsin Health Organization Insurance Cor</v>
      </c>
      <c r="B508" s="1" t="s">
        <v>830</v>
      </c>
      <c r="C508" s="1" t="s">
        <v>835</v>
      </c>
      <c r="D508" s="1" t="str">
        <f>IFERROR(VLOOKUP(A508,'MLR Data'!$A$2:$D$706,4,0),"")</f>
        <v/>
      </c>
      <c r="E508" s="5" t="s">
        <v>353</v>
      </c>
    </row>
    <row r="509" spans="1:5" x14ac:dyDescent="0.3">
      <c r="A509" t="str">
        <f t="shared" si="7"/>
        <v>AL Humana Health Plan, Inc.</v>
      </c>
      <c r="B509" s="1" t="s">
        <v>367</v>
      </c>
      <c r="C509" s="1" t="s">
        <v>13</v>
      </c>
      <c r="D509" s="1" t="str">
        <f>IFERROR(VLOOKUP(A509,'MLR Data'!$A$2:$D$706,4,0),"")</f>
        <v>Humana Health Plan, Inc.</v>
      </c>
      <c r="E509" s="5" t="s">
        <v>13</v>
      </c>
    </row>
    <row r="510" spans="1:5" x14ac:dyDescent="0.3">
      <c r="A510" t="str">
        <f t="shared" si="7"/>
        <v>AR Coventry Health Care</v>
      </c>
      <c r="B510" s="1" t="s">
        <v>376</v>
      </c>
      <c r="C510" s="1" t="s">
        <v>380</v>
      </c>
      <c r="D510" s="1" t="str">
        <f>IFERROR(VLOOKUP(A510,'MLR Data'!$A$2:$D$706,4,0),"")</f>
        <v/>
      </c>
      <c r="E510" s="5" t="s">
        <v>35</v>
      </c>
    </row>
    <row r="511" spans="1:5" x14ac:dyDescent="0.3">
      <c r="A511" t="str">
        <f t="shared" si="7"/>
        <v>AZ Blue Cross Blue Shield of Arizona Advantage</v>
      </c>
      <c r="B511" s="1" t="s">
        <v>388</v>
      </c>
      <c r="C511" s="1" t="s">
        <v>395</v>
      </c>
      <c r="D511" s="1" t="str">
        <f>IFERROR(VLOOKUP(A511,'MLR Data'!$A$2:$D$706,4,0),"")</f>
        <v/>
      </c>
      <c r="E511" s="5" t="s">
        <v>853</v>
      </c>
    </row>
    <row r="512" spans="1:5" x14ac:dyDescent="0.3">
      <c r="A512" t="str">
        <f t="shared" si="7"/>
        <v>CA Central Health Medicare Plan</v>
      </c>
      <c r="B512" s="1" t="s">
        <v>418</v>
      </c>
      <c r="C512" s="1" t="s">
        <v>440</v>
      </c>
      <c r="D512" s="1" t="str">
        <f>IFERROR(VLOOKUP(A512,'MLR Data'!$A$2:$D$706,4,0),"")</f>
        <v/>
      </c>
      <c r="E512" s="3" t="s">
        <v>853</v>
      </c>
    </row>
    <row r="513" spans="1:5" x14ac:dyDescent="0.3">
      <c r="A513" t="str">
        <f t="shared" si="7"/>
        <v>CA Molina Healthcare of California</v>
      </c>
      <c r="B513" s="1" t="s">
        <v>418</v>
      </c>
      <c r="C513" s="1" t="s">
        <v>441</v>
      </c>
      <c r="D513" s="1" t="str">
        <f>IFERROR(VLOOKUP(A513,'MLR Data'!$A$2:$D$706,4,0),"")</f>
        <v/>
      </c>
      <c r="E513" s="3" t="s">
        <v>853</v>
      </c>
    </row>
    <row r="514" spans="1:5" x14ac:dyDescent="0.3">
      <c r="A514" t="str">
        <f t="shared" ref="A514:A577" si="8">B514&amp;" "&amp;C514</f>
        <v>CO Total Longterm Care, Inc.</v>
      </c>
      <c r="B514" s="1" t="s">
        <v>464</v>
      </c>
      <c r="C514" s="1" t="s">
        <v>465</v>
      </c>
      <c r="D514" s="1" t="str">
        <f>IFERROR(VLOOKUP(A514,'MLR Data'!$A$2:$D$706,4,0),"")</f>
        <v/>
      </c>
      <c r="E514" s="3" t="s">
        <v>853</v>
      </c>
    </row>
    <row r="515" spans="1:5" x14ac:dyDescent="0.3">
      <c r="A515" t="str">
        <f t="shared" si="8"/>
        <v>FL Health First Health Plans, Inc.</v>
      </c>
      <c r="B515" s="1" t="s">
        <v>482</v>
      </c>
      <c r="C515" s="1" t="s">
        <v>486</v>
      </c>
      <c r="D515" s="1" t="str">
        <f>IFERROR(VLOOKUP(A515,'MLR Data'!$A$2:$D$706,4,0),"")</f>
        <v/>
      </c>
      <c r="E515" s="5" t="s">
        <v>82</v>
      </c>
    </row>
    <row r="516" spans="1:5" x14ac:dyDescent="0.3">
      <c r="A516" t="str">
        <f t="shared" si="8"/>
        <v>FL HealthSun Health Plans, Inc.</v>
      </c>
      <c r="B516" s="1" t="s">
        <v>482</v>
      </c>
      <c r="C516" s="1" t="s">
        <v>499</v>
      </c>
      <c r="D516" s="1" t="str">
        <f>IFERROR(VLOOKUP(A516,'MLR Data'!$A$2:$D$706,4,0),"")</f>
        <v/>
      </c>
      <c r="E516" s="3" t="s">
        <v>853</v>
      </c>
    </row>
    <row r="517" spans="1:5" x14ac:dyDescent="0.3">
      <c r="A517" t="str">
        <f t="shared" si="8"/>
        <v>FL Coventry Health Care of Florida</v>
      </c>
      <c r="B517" s="1" t="s">
        <v>482</v>
      </c>
      <c r="C517" s="1" t="s">
        <v>501</v>
      </c>
      <c r="D517" s="1" t="str">
        <f>IFERROR(VLOOKUP(A517,'MLR Data'!$A$2:$D$706,4,0),"")</f>
        <v/>
      </c>
      <c r="E517" s="5" t="s">
        <v>78</v>
      </c>
    </row>
    <row r="518" spans="1:5" x14ac:dyDescent="0.3">
      <c r="A518" t="str">
        <f t="shared" si="8"/>
        <v>FL Vista Healthplan of South Florida, Inc.</v>
      </c>
      <c r="B518" s="1" t="s">
        <v>482</v>
      </c>
      <c r="C518" s="1" t="s">
        <v>507</v>
      </c>
      <c r="D518" s="1" t="str">
        <f>IFERROR(VLOOKUP(A518,'MLR Data'!$A$2:$D$706,4,0),"")</f>
        <v/>
      </c>
      <c r="E518" s="3" t="s">
        <v>853</v>
      </c>
    </row>
    <row r="519" spans="1:5" x14ac:dyDescent="0.3">
      <c r="A519" t="str">
        <f t="shared" si="8"/>
        <v>FL AdvantageCare</v>
      </c>
      <c r="B519" s="1" t="s">
        <v>482</v>
      </c>
      <c r="C519" s="1" t="s">
        <v>515</v>
      </c>
      <c r="D519" s="1" t="str">
        <f>IFERROR(VLOOKUP(A519,'MLR Data'!$A$2:$D$706,4,0),"")</f>
        <v/>
      </c>
      <c r="E519" s="3" t="s">
        <v>853</v>
      </c>
    </row>
    <row r="520" spans="1:5" x14ac:dyDescent="0.3">
      <c r="A520" t="str">
        <f t="shared" si="8"/>
        <v>GA Aetna Medicare</v>
      </c>
      <c r="B520" s="1" t="s">
        <v>523</v>
      </c>
      <c r="C520" s="1" t="s">
        <v>407</v>
      </c>
      <c r="D520" s="1" t="str">
        <f>IFERROR(VLOOKUP(A520,'MLR Data'!$A$2:$D$706,4,0),"")</f>
        <v/>
      </c>
      <c r="E520" s="5" t="s">
        <v>92</v>
      </c>
    </row>
    <row r="521" spans="1:5" x14ac:dyDescent="0.3">
      <c r="A521" t="str">
        <f t="shared" si="8"/>
        <v>GA Humana Employers Health Plan of Georgia, Inc.</v>
      </c>
      <c r="B521" s="1" t="s">
        <v>523</v>
      </c>
      <c r="C521" s="1" t="s">
        <v>96</v>
      </c>
      <c r="D521" s="1" t="str">
        <f>IFERROR(VLOOKUP(A521,'MLR Data'!$A$2:$D$706,4,0),"")</f>
        <v>Humana Employers Health Plan of Georgia, Inc.</v>
      </c>
      <c r="E521" s="3" t="s">
        <v>96</v>
      </c>
    </row>
    <row r="522" spans="1:5" x14ac:dyDescent="0.3">
      <c r="A522" t="str">
        <f t="shared" si="8"/>
        <v>HI AlohaCare</v>
      </c>
      <c r="B522" s="1" t="s">
        <v>529</v>
      </c>
      <c r="C522" s="1" t="s">
        <v>531</v>
      </c>
      <c r="D522" s="1" t="str">
        <f>IFERROR(VLOOKUP(A522,'MLR Data'!$A$2:$D$706,4,0),"")</f>
        <v/>
      </c>
      <c r="E522" s="3" t="s">
        <v>853</v>
      </c>
    </row>
    <row r="523" spans="1:5" x14ac:dyDescent="0.3">
      <c r="A523" t="str">
        <f t="shared" si="8"/>
        <v>IL SecureHorizons MedicareDirect</v>
      </c>
      <c r="B523" s="1" t="s">
        <v>543</v>
      </c>
      <c r="C523" s="1" t="s">
        <v>390</v>
      </c>
      <c r="D523" s="1" t="str">
        <f>IFERROR(VLOOKUP(A523,'MLR Data'!$A$2:$D$706,4,0),"")</f>
        <v/>
      </c>
      <c r="E523" s="5" t="s">
        <v>20</v>
      </c>
    </row>
    <row r="524" spans="1:5" x14ac:dyDescent="0.3">
      <c r="A524" t="str">
        <f t="shared" si="8"/>
        <v>IN Welborn Health Plans</v>
      </c>
      <c r="B524" s="1" t="s">
        <v>549</v>
      </c>
      <c r="C524" s="1" t="s">
        <v>552</v>
      </c>
      <c r="D524" s="1" t="str">
        <f>IFERROR(VLOOKUP(A524,'MLR Data'!$A$2:$D$706,4,0),"")</f>
        <v/>
      </c>
      <c r="E524" s="3" t="s">
        <v>853</v>
      </c>
    </row>
    <row r="525" spans="1:5" x14ac:dyDescent="0.3">
      <c r="A525" t="str">
        <f t="shared" si="8"/>
        <v>KS Humana Health Plan, Inc.</v>
      </c>
      <c r="B525" s="1" t="s">
        <v>555</v>
      </c>
      <c r="C525" s="1" t="s">
        <v>13</v>
      </c>
      <c r="D525" s="1" t="str">
        <f>IFERROR(VLOOKUP(A525,'MLR Data'!$A$2:$D$706,4,0),"")</f>
        <v>Humana Health Plan, Inc.</v>
      </c>
      <c r="E525" s="3" t="s">
        <v>13</v>
      </c>
    </row>
    <row r="526" spans="1:5" x14ac:dyDescent="0.3">
      <c r="A526" t="str">
        <f t="shared" si="8"/>
        <v>LA Humana Health Benefit Plan Of Louisiana Inc</v>
      </c>
      <c r="B526" s="1" t="s">
        <v>561</v>
      </c>
      <c r="C526" s="1" t="s">
        <v>565</v>
      </c>
      <c r="D526" s="1" t="str">
        <f>IFERROR(VLOOKUP(A526,'MLR Data'!$A$2:$D$706,4,0),"")</f>
        <v/>
      </c>
      <c r="E526" s="5" t="s">
        <v>136</v>
      </c>
    </row>
    <row r="527" spans="1:5" x14ac:dyDescent="0.3">
      <c r="A527" t="str">
        <f t="shared" si="8"/>
        <v>LA Humana Insurance Company</v>
      </c>
      <c r="B527" s="1" t="s">
        <v>561</v>
      </c>
      <c r="C527" s="1" t="s">
        <v>372</v>
      </c>
      <c r="D527" s="1" t="str">
        <f>IFERROR(VLOOKUP(A527,'MLR Data'!$A$2:$D$706,4,0),"")</f>
        <v/>
      </c>
      <c r="E527" s="5" t="s">
        <v>15</v>
      </c>
    </row>
    <row r="528" spans="1:5" x14ac:dyDescent="0.3">
      <c r="A528" t="str">
        <f t="shared" si="8"/>
        <v>LA Humana Health Benefit Plan of Louisiana Inc</v>
      </c>
      <c r="B528" s="1" t="s">
        <v>561</v>
      </c>
      <c r="C528" s="1" t="s">
        <v>568</v>
      </c>
      <c r="D528" s="1" t="str">
        <f>IFERROR(VLOOKUP(A528,'MLR Data'!$A$2:$D$706,4,0),"")</f>
        <v/>
      </c>
      <c r="E528" s="5" t="s">
        <v>136</v>
      </c>
    </row>
    <row r="529" spans="1:5" x14ac:dyDescent="0.3">
      <c r="A529" t="str">
        <f t="shared" si="8"/>
        <v>MA Health New England, Inc.</v>
      </c>
      <c r="B529" s="1" t="s">
        <v>569</v>
      </c>
      <c r="C529" s="1" t="s">
        <v>578</v>
      </c>
      <c r="D529" s="1" t="str">
        <f>IFERROR(VLOOKUP(A529,'MLR Data'!$A$2:$D$706,4,0),"")</f>
        <v/>
      </c>
      <c r="E529" s="5" t="s">
        <v>154</v>
      </c>
    </row>
    <row r="530" spans="1:5" x14ac:dyDescent="0.3">
      <c r="A530" t="str">
        <f t="shared" si="8"/>
        <v>MD Bravo by Elder Health</v>
      </c>
      <c r="B530" s="1" t="s">
        <v>586</v>
      </c>
      <c r="C530" s="1" t="s">
        <v>481</v>
      </c>
      <c r="D530" s="1" t="str">
        <f>IFERROR(VLOOKUP(A530,'MLR Data'!$A$2:$D$706,4,0),"")</f>
        <v/>
      </c>
      <c r="E530" s="3" t="s">
        <v>853</v>
      </c>
    </row>
    <row r="531" spans="1:5" x14ac:dyDescent="0.3">
      <c r="A531" t="str">
        <f t="shared" si="8"/>
        <v>MI SecureHorizons MedicareDirect</v>
      </c>
      <c r="B531" s="1" t="s">
        <v>592</v>
      </c>
      <c r="C531" s="1" t="s">
        <v>390</v>
      </c>
      <c r="D531" s="1" t="str">
        <f>IFERROR(VLOOKUP(A531,'MLR Data'!$A$2:$D$706,4,0),"")</f>
        <v/>
      </c>
      <c r="E531" s="5" t="s">
        <v>20</v>
      </c>
    </row>
    <row r="532" spans="1:5" x14ac:dyDescent="0.3">
      <c r="A532" t="str">
        <f t="shared" si="8"/>
        <v>MN HealthPartners Classic Plan</v>
      </c>
      <c r="B532" s="1" t="s">
        <v>608</v>
      </c>
      <c r="C532" s="1" t="s">
        <v>613</v>
      </c>
      <c r="D532" s="1" t="str">
        <f>IFERROR(VLOOKUP(A532,'MLR Data'!$A$2:$D$706,4,0),"")</f>
        <v/>
      </c>
      <c r="E532" s="5" t="s">
        <v>181</v>
      </c>
    </row>
    <row r="533" spans="1:5" x14ac:dyDescent="0.3">
      <c r="A533" t="str">
        <f t="shared" si="8"/>
        <v>MN Advantra® Freedom</v>
      </c>
      <c r="B533" s="1" t="s">
        <v>608</v>
      </c>
      <c r="C533" s="1" t="s">
        <v>387</v>
      </c>
      <c r="D533" s="1" t="str">
        <f>IFERROR(VLOOKUP(A533,'MLR Data'!$A$2:$D$706,4,0),"")</f>
        <v/>
      </c>
      <c r="E533" s="5" t="s">
        <v>4</v>
      </c>
    </row>
    <row r="534" spans="1:5" x14ac:dyDescent="0.3">
      <c r="A534" t="str">
        <f t="shared" si="8"/>
        <v>NV Senior Care Plus</v>
      </c>
      <c r="B534" s="1" t="s">
        <v>660</v>
      </c>
      <c r="C534" s="1" t="s">
        <v>664</v>
      </c>
      <c r="D534" s="1" t="str">
        <f>IFERROR(VLOOKUP(A534,'MLR Data'!$A$2:$D$706,4,0),"")</f>
        <v/>
      </c>
      <c r="E534" s="3" t="s">
        <v>853</v>
      </c>
    </row>
    <row r="535" spans="1:5" x14ac:dyDescent="0.3">
      <c r="A535" t="str">
        <f t="shared" si="8"/>
        <v>NY Affinity Health Plan</v>
      </c>
      <c r="B535" s="1" t="s">
        <v>665</v>
      </c>
      <c r="C535" s="1" t="s">
        <v>687</v>
      </c>
      <c r="D535" s="1" t="str">
        <f>IFERROR(VLOOKUP(A535,'MLR Data'!$A$2:$D$706,4,0),"")</f>
        <v/>
      </c>
      <c r="E535" s="3" t="s">
        <v>853</v>
      </c>
    </row>
    <row r="536" spans="1:5" x14ac:dyDescent="0.3">
      <c r="A536" t="str">
        <f t="shared" si="8"/>
        <v>NY Elderplan</v>
      </c>
      <c r="B536" s="1" t="s">
        <v>665</v>
      </c>
      <c r="C536" s="1" t="s">
        <v>702</v>
      </c>
      <c r="D536" s="1" t="str">
        <f>IFERROR(VLOOKUP(A536,'MLR Data'!$A$2:$D$706,4,0),"")</f>
        <v/>
      </c>
      <c r="E536" s="3" t="s">
        <v>853</v>
      </c>
    </row>
    <row r="537" spans="1:5" x14ac:dyDescent="0.3">
      <c r="A537" t="str">
        <f t="shared" si="8"/>
        <v>OH Universal American</v>
      </c>
      <c r="B537" s="1" t="s">
        <v>710</v>
      </c>
      <c r="C537" s="1" t="s">
        <v>384</v>
      </c>
      <c r="D537" s="1" t="str">
        <f>IFERROR(VLOOKUP(A537,'MLR Data'!$A$2:$D$706,4,0),"")</f>
        <v/>
      </c>
      <c r="E537" s="3" t="s">
        <v>853</v>
      </c>
    </row>
    <row r="538" spans="1:5" x14ac:dyDescent="0.3">
      <c r="A538" t="str">
        <f t="shared" si="8"/>
        <v>OH HealthAmerica Advantra</v>
      </c>
      <c r="B538" s="1" t="s">
        <v>710</v>
      </c>
      <c r="C538" s="1" t="s">
        <v>714</v>
      </c>
      <c r="D538" s="1" t="str">
        <f>IFERROR(VLOOKUP(A538,'MLR Data'!$A$2:$D$706,4,0),"")</f>
        <v/>
      </c>
      <c r="E538" s="5" t="s">
        <v>26</v>
      </c>
    </row>
    <row r="539" spans="1:5" x14ac:dyDescent="0.3">
      <c r="A539" t="str">
        <f t="shared" si="8"/>
        <v>OH SummaCare Secure</v>
      </c>
      <c r="B539" s="1" t="s">
        <v>710</v>
      </c>
      <c r="C539" s="1" t="s">
        <v>719</v>
      </c>
      <c r="D539" s="1" t="str">
        <f>IFERROR(VLOOKUP(A539,'MLR Data'!$A$2:$D$706,4,0),"")</f>
        <v/>
      </c>
      <c r="E539" s="5" t="s">
        <v>248</v>
      </c>
    </row>
    <row r="540" spans="1:5" x14ac:dyDescent="0.3">
      <c r="A540" t="str">
        <f t="shared" si="8"/>
        <v>OK Universal American</v>
      </c>
      <c r="B540" s="1" t="s">
        <v>722</v>
      </c>
      <c r="C540" s="1" t="s">
        <v>384</v>
      </c>
      <c r="D540" s="1" t="str">
        <f>IFERROR(VLOOKUP(A540,'MLR Data'!$A$2:$D$706,4,0),"")</f>
        <v/>
      </c>
      <c r="E540" s="3" t="s">
        <v>853</v>
      </c>
    </row>
    <row r="541" spans="1:5" x14ac:dyDescent="0.3">
      <c r="A541" t="str">
        <f t="shared" si="8"/>
        <v>OR Aetna Medicare</v>
      </c>
      <c r="B541" s="1" t="s">
        <v>728</v>
      </c>
      <c r="C541" s="1" t="s">
        <v>407</v>
      </c>
      <c r="D541" s="1" t="str">
        <f>IFERROR(VLOOKUP(A541,'MLR Data'!$A$2:$D$706,4,0),"")</f>
        <v/>
      </c>
      <c r="E541" s="5" t="s">
        <v>4</v>
      </c>
    </row>
    <row r="542" spans="1:5" x14ac:dyDescent="0.3">
      <c r="A542" t="str">
        <f t="shared" si="8"/>
        <v>PA HealthAmerica</v>
      </c>
      <c r="B542" s="1" t="s">
        <v>744</v>
      </c>
      <c r="C542" s="1" t="s">
        <v>752</v>
      </c>
      <c r="D542" s="1" t="str">
        <f>IFERROR(VLOOKUP(A542,'MLR Data'!$A$2:$D$706,4,0),"")</f>
        <v/>
      </c>
      <c r="E542" s="5" t="s">
        <v>275</v>
      </c>
    </row>
    <row r="543" spans="1:5" x14ac:dyDescent="0.3">
      <c r="A543" t="str">
        <f t="shared" si="8"/>
        <v>PA Advantra PPO</v>
      </c>
      <c r="B543" s="1" t="s">
        <v>744</v>
      </c>
      <c r="C543" s="1" t="s">
        <v>755</v>
      </c>
      <c r="D543" s="1" t="str">
        <f>IFERROR(VLOOKUP(A543,'MLR Data'!$A$2:$D$706,4,0),"")</f>
        <v/>
      </c>
      <c r="E543" s="5" t="s">
        <v>26</v>
      </c>
    </row>
    <row r="544" spans="1:5" x14ac:dyDescent="0.3">
      <c r="A544" t="str">
        <f t="shared" si="8"/>
        <v>PA CIGNA Medicare Access</v>
      </c>
      <c r="B544" s="1" t="s">
        <v>744</v>
      </c>
      <c r="C544" s="1" t="s">
        <v>429</v>
      </c>
      <c r="D544" s="1" t="str">
        <f>IFERROR(VLOOKUP(A544,'MLR Data'!$A$2:$D$706,4,0),"")</f>
        <v/>
      </c>
      <c r="E544" s="5" t="s">
        <v>9</v>
      </c>
    </row>
    <row r="545" spans="1:5" x14ac:dyDescent="0.3">
      <c r="A545" t="str">
        <f t="shared" si="8"/>
        <v>PA Senior Partners</v>
      </c>
      <c r="B545" s="1" t="s">
        <v>744</v>
      </c>
      <c r="C545" s="1" t="s">
        <v>759</v>
      </c>
      <c r="D545" s="1" t="str">
        <f>IFERROR(VLOOKUP(A545,'MLR Data'!$A$2:$D$706,4,0),"")</f>
        <v/>
      </c>
      <c r="E545" s="3" t="s">
        <v>853</v>
      </c>
    </row>
    <row r="546" spans="1:5" x14ac:dyDescent="0.3">
      <c r="A546" t="str">
        <f t="shared" si="8"/>
        <v>PA Keystone 65 HMO</v>
      </c>
      <c r="B546" s="1" t="s">
        <v>744</v>
      </c>
      <c r="C546" s="1" t="s">
        <v>761</v>
      </c>
      <c r="D546" s="1" t="str">
        <f>IFERROR(VLOOKUP(A546,'MLR Data'!$A$2:$D$706,4,0),"")</f>
        <v/>
      </c>
      <c r="E546" s="5" t="s">
        <v>279</v>
      </c>
    </row>
    <row r="547" spans="1:5" x14ac:dyDescent="0.3">
      <c r="A547" t="str">
        <f t="shared" si="8"/>
        <v>RI AARP MedicareComplete provided by SecureHorizons</v>
      </c>
      <c r="B547" s="1" t="s">
        <v>772</v>
      </c>
      <c r="C547" s="1" t="s">
        <v>468</v>
      </c>
      <c r="D547" s="1" t="str">
        <f>IFERROR(VLOOKUP(A547,'MLR Data'!$A$2:$D$706,4,0),"")</f>
        <v/>
      </c>
      <c r="E547" s="5" t="s">
        <v>20</v>
      </c>
    </row>
    <row r="548" spans="1:5" x14ac:dyDescent="0.3">
      <c r="A548" t="str">
        <f t="shared" si="8"/>
        <v>RI Blue Cross &amp; Blue Shield Of Rhode Island</v>
      </c>
      <c r="B548" s="1" t="s">
        <v>772</v>
      </c>
      <c r="C548" s="1" t="s">
        <v>773</v>
      </c>
      <c r="D548" s="1" t="str">
        <f>IFERROR(VLOOKUP(A548,'MLR Data'!$A$2:$D$706,4,0),"")</f>
        <v>Blue Cross &amp; Blue Shield of Rhode Island</v>
      </c>
      <c r="E548" s="3" t="s">
        <v>295</v>
      </c>
    </row>
    <row r="549" spans="1:5" x14ac:dyDescent="0.3">
      <c r="A549" t="str">
        <f t="shared" si="8"/>
        <v>RI Blue Cross &amp; Blue Shield of Rhode Island</v>
      </c>
      <c r="B549" s="1" t="s">
        <v>772</v>
      </c>
      <c r="C549" s="1" t="s">
        <v>295</v>
      </c>
      <c r="D549" s="1" t="str">
        <f>IFERROR(VLOOKUP(A549,'MLR Data'!$A$2:$D$706,4,0),"")</f>
        <v>Blue Cross &amp; Blue Shield of Rhode Island</v>
      </c>
      <c r="E549" s="3" t="s">
        <v>295</v>
      </c>
    </row>
    <row r="550" spans="1:5" x14ac:dyDescent="0.3">
      <c r="A550" t="str">
        <f t="shared" si="8"/>
        <v>TX Bravo by Elder Health</v>
      </c>
      <c r="B550" s="1" t="s">
        <v>791</v>
      </c>
      <c r="C550" s="1" t="s">
        <v>481</v>
      </c>
      <c r="D550" s="1" t="str">
        <f>IFERROR(VLOOKUP(A550,'MLR Data'!$A$2:$D$706,4,0),"")</f>
        <v/>
      </c>
      <c r="E550" s="3" t="s">
        <v>853</v>
      </c>
    </row>
    <row r="551" spans="1:5" x14ac:dyDescent="0.3">
      <c r="A551" t="str">
        <f t="shared" si="8"/>
        <v>TX HealthSpring</v>
      </c>
      <c r="B551" s="1" t="s">
        <v>791</v>
      </c>
      <c r="C551" s="1" t="s">
        <v>798</v>
      </c>
      <c r="D551" s="1" t="str">
        <f>IFERROR(VLOOKUP(A551,'MLR Data'!$A$2:$D$706,4,0),"")</f>
        <v/>
      </c>
      <c r="E551" s="3" t="s">
        <v>853</v>
      </c>
    </row>
    <row r="552" spans="1:5" x14ac:dyDescent="0.3">
      <c r="A552" t="str">
        <f t="shared" si="8"/>
        <v>TX Evercare® Health Plans</v>
      </c>
      <c r="B552" s="1" t="s">
        <v>791</v>
      </c>
      <c r="C552" s="1" t="s">
        <v>408</v>
      </c>
      <c r="D552" s="1" t="str">
        <f>IFERROR(VLOOKUP(A552,'MLR Data'!$A$2:$D$706,4,0),"")</f>
        <v/>
      </c>
      <c r="E552" s="5" t="s">
        <v>20</v>
      </c>
    </row>
    <row r="553" spans="1:5" x14ac:dyDescent="0.3">
      <c r="A553" t="str">
        <f t="shared" si="8"/>
        <v>UT UNIVERSAL HEALTH CARE INSURANCE COMPANY, INC.</v>
      </c>
      <c r="B553" s="1" t="s">
        <v>813</v>
      </c>
      <c r="C553" s="1" t="s">
        <v>394</v>
      </c>
      <c r="D553" s="1" t="str">
        <f>IFERROR(VLOOKUP(A553,'MLR Data'!$A$2:$D$706,4,0),"")</f>
        <v/>
      </c>
      <c r="E553" s="3" t="s">
        <v>853</v>
      </c>
    </row>
    <row r="554" spans="1:5" x14ac:dyDescent="0.3">
      <c r="A554" t="str">
        <f t="shared" si="8"/>
        <v>UT Universal Health Care Insurance Company, Inc.</v>
      </c>
      <c r="B554" s="1" t="s">
        <v>813</v>
      </c>
      <c r="C554" s="1" t="s">
        <v>405</v>
      </c>
      <c r="D554" s="1" t="str">
        <f>IFERROR(VLOOKUP(A554,'MLR Data'!$A$2:$D$706,4,0),"")</f>
        <v/>
      </c>
      <c r="E554" s="3" t="s">
        <v>853</v>
      </c>
    </row>
    <row r="555" spans="1:5" x14ac:dyDescent="0.3">
      <c r="A555" t="str">
        <f t="shared" si="8"/>
        <v>VA Universal American Corp.</v>
      </c>
      <c r="B555" s="1" t="s">
        <v>819</v>
      </c>
      <c r="C555" s="1" t="s">
        <v>383</v>
      </c>
      <c r="D555" s="1" t="str">
        <f>IFERROR(VLOOKUP(A555,'MLR Data'!$A$2:$D$706,4,0),"")</f>
        <v/>
      </c>
      <c r="E555" s="3" t="s">
        <v>853</v>
      </c>
    </row>
    <row r="556" spans="1:5" x14ac:dyDescent="0.3">
      <c r="A556" t="str">
        <f t="shared" si="8"/>
        <v>WI Humana WisconsinHealth Organization Insurance Corp</v>
      </c>
      <c r="B556" s="1" t="s">
        <v>830</v>
      </c>
      <c r="C556" s="1" t="s">
        <v>831</v>
      </c>
      <c r="D556" s="1" t="str">
        <f>IFERROR(VLOOKUP(A556,'MLR Data'!$A$2:$D$706,4,0),"")</f>
        <v/>
      </c>
      <c r="E556" s="5" t="s">
        <v>353</v>
      </c>
    </row>
    <row r="557" spans="1:5" x14ac:dyDescent="0.3">
      <c r="A557" t="str">
        <f t="shared" si="8"/>
        <v>WV Advantra® Freedom</v>
      </c>
      <c r="B557" s="1" t="s">
        <v>839</v>
      </c>
      <c r="C557" s="1" t="s">
        <v>387</v>
      </c>
      <c r="D557" s="1" t="str">
        <f>IFERROR(VLOOKUP(A557,'MLR Data'!$A$2:$D$706,4,0),"")</f>
        <v/>
      </c>
      <c r="E557" s="5" t="s">
        <v>4</v>
      </c>
    </row>
    <row r="558" spans="1:5" x14ac:dyDescent="0.3">
      <c r="A558" t="str">
        <f t="shared" si="8"/>
        <v>WY SecureHorizons by UnitedHealthcare</v>
      </c>
      <c r="B558" s="1" t="s">
        <v>842</v>
      </c>
      <c r="C558" s="1" t="s">
        <v>368</v>
      </c>
      <c r="D558" s="1" t="str">
        <f>IFERROR(VLOOKUP(A558,'MLR Data'!$A$2:$D$706,4,0),"")</f>
        <v/>
      </c>
      <c r="E558" s="5" t="s">
        <v>20</v>
      </c>
    </row>
    <row r="559" spans="1:5" x14ac:dyDescent="0.3">
      <c r="A559" t="str">
        <f t="shared" si="8"/>
        <v>AL Windsor Medicare Extra</v>
      </c>
      <c r="B559" s="1" t="s">
        <v>367</v>
      </c>
      <c r="C559" s="1" t="s">
        <v>375</v>
      </c>
      <c r="D559" s="1" t="str">
        <f>IFERROR(VLOOKUP(A559,'MLR Data'!$A$2:$D$706,4,0),"")</f>
        <v/>
      </c>
    </row>
    <row r="560" spans="1:5" x14ac:dyDescent="0.3">
      <c r="A560" t="str">
        <f t="shared" si="8"/>
        <v>AR Universal American</v>
      </c>
      <c r="B560" s="1" t="s">
        <v>376</v>
      </c>
      <c r="C560" s="1" t="s">
        <v>384</v>
      </c>
      <c r="D560" s="1" t="str">
        <f>IFERROR(VLOOKUP(A560,'MLR Data'!$A$2:$D$706,4,0),"")</f>
        <v/>
      </c>
    </row>
    <row r="561" spans="1:5" x14ac:dyDescent="0.3">
      <c r="A561" t="str">
        <f t="shared" si="8"/>
        <v>AZ Sterling Life Insurance Company</v>
      </c>
      <c r="B561" s="1" t="s">
        <v>388</v>
      </c>
      <c r="C561" s="1" t="s">
        <v>391</v>
      </c>
      <c r="D561" s="1" t="str">
        <f>IFERROR(VLOOKUP(A561,'MLR Data'!$A$2:$D$706,4,0),"")</f>
        <v/>
      </c>
      <c r="E561" s="5" t="s">
        <v>853</v>
      </c>
    </row>
    <row r="562" spans="1:5" x14ac:dyDescent="0.3">
      <c r="A562" t="str">
        <f t="shared" si="8"/>
        <v>AZ Evercare® by UnitedHealthcare</v>
      </c>
      <c r="B562" s="1" t="s">
        <v>388</v>
      </c>
      <c r="C562" s="1" t="s">
        <v>396</v>
      </c>
      <c r="D562" s="1" t="str">
        <f>IFERROR(VLOOKUP(A562,'MLR Data'!$A$2:$D$706,4,0),"")</f>
        <v/>
      </c>
      <c r="E562" s="5" t="s">
        <v>20</v>
      </c>
    </row>
    <row r="563" spans="1:5" x14ac:dyDescent="0.3">
      <c r="A563" t="str">
        <f t="shared" si="8"/>
        <v>AZ Aetna Medicare</v>
      </c>
      <c r="B563" s="1" t="s">
        <v>388</v>
      </c>
      <c r="C563" s="1" t="s">
        <v>407</v>
      </c>
      <c r="D563" s="1" t="str">
        <f>IFERROR(VLOOKUP(A563,'MLR Data'!$A$2:$D$706,4,0),"")</f>
        <v/>
      </c>
      <c r="E563" s="5" t="s">
        <v>26</v>
      </c>
    </row>
    <row r="564" spans="1:5" x14ac:dyDescent="0.3">
      <c r="A564" t="str">
        <f t="shared" si="8"/>
        <v>AZ Unicare Life &amp; Health Ins. Company</v>
      </c>
      <c r="B564" s="1" t="s">
        <v>388</v>
      </c>
      <c r="C564" s="1" t="s">
        <v>415</v>
      </c>
      <c r="D564" s="1" t="str">
        <f>IFERROR(VLOOKUP(A564,'MLR Data'!$A$2:$D$706,4,0),"")</f>
        <v/>
      </c>
      <c r="E564" s="5" t="s">
        <v>853</v>
      </c>
    </row>
    <row r="565" spans="1:5" x14ac:dyDescent="0.3">
      <c r="A565" t="str">
        <f t="shared" si="8"/>
        <v>CA Easy Choice Health Plan</v>
      </c>
      <c r="B565" s="1" t="s">
        <v>418</v>
      </c>
      <c r="C565" s="1" t="s">
        <v>439</v>
      </c>
      <c r="D565" s="1" t="str">
        <f>IFERROR(VLOOKUP(A565,'MLR Data'!$A$2:$D$706,4,0),"")</f>
        <v/>
      </c>
      <c r="E565" s="3" t="s">
        <v>853</v>
      </c>
    </row>
    <row r="566" spans="1:5" x14ac:dyDescent="0.3">
      <c r="A566" t="str">
        <f t="shared" si="8"/>
        <v>CA Arta Medicare Health Plan</v>
      </c>
      <c r="B566" s="1" t="s">
        <v>418</v>
      </c>
      <c r="C566" s="1" t="s">
        <v>450</v>
      </c>
      <c r="D566" s="1" t="str">
        <f>IFERROR(VLOOKUP(A566,'MLR Data'!$A$2:$D$706,4,0),"")</f>
        <v/>
      </c>
      <c r="E566" s="3" t="s">
        <v>853</v>
      </c>
    </row>
    <row r="567" spans="1:5" x14ac:dyDescent="0.3">
      <c r="A567" t="str">
        <f t="shared" si="8"/>
        <v>CA Chinese Community Health Plan</v>
      </c>
      <c r="B567" s="1" t="s">
        <v>418</v>
      </c>
      <c r="C567" s="1" t="s">
        <v>45</v>
      </c>
      <c r="D567" s="1" t="str">
        <f>IFERROR(VLOOKUP(A567,'MLR Data'!$A$2:$D$706,4,0),"")</f>
        <v>Chinese Community Health Plan</v>
      </c>
      <c r="E567" s="3" t="s">
        <v>45</v>
      </c>
    </row>
    <row r="568" spans="1:5" x14ac:dyDescent="0.3">
      <c r="A568" t="str">
        <f t="shared" si="8"/>
        <v>CO Anthem Blue Cross and Blue Shield</v>
      </c>
      <c r="B568" s="1" t="s">
        <v>464</v>
      </c>
      <c r="C568" s="1" t="s">
        <v>467</v>
      </c>
      <c r="D568" s="1" t="str">
        <f>IFERROR(VLOOKUP(A568,'MLR Data'!$A$2:$D$706,4,0),"")</f>
        <v/>
      </c>
      <c r="E568" s="3" t="s">
        <v>853</v>
      </c>
    </row>
    <row r="569" spans="1:5" x14ac:dyDescent="0.3">
      <c r="A569" t="str">
        <f t="shared" si="8"/>
        <v>CO SecureHorizons MedicareDirect</v>
      </c>
      <c r="B569" s="1" t="s">
        <v>464</v>
      </c>
      <c r="C569" s="1" t="s">
        <v>390</v>
      </c>
      <c r="D569" s="1" t="str">
        <f>IFERROR(VLOOKUP(A569,'MLR Data'!$A$2:$D$706,4,0),"")</f>
        <v/>
      </c>
      <c r="E569" s="5" t="s">
        <v>20</v>
      </c>
    </row>
    <row r="570" spans="1:5" x14ac:dyDescent="0.3">
      <c r="A570" t="str">
        <f t="shared" si="8"/>
        <v>CO Unicare Life &amp; Health Ins. Company</v>
      </c>
      <c r="B570" s="1" t="s">
        <v>464</v>
      </c>
      <c r="C570" s="1" t="s">
        <v>415</v>
      </c>
      <c r="D570" s="1" t="str">
        <f>IFERROR(VLOOKUP(A570,'MLR Data'!$A$2:$D$706,4,0),"")</f>
        <v/>
      </c>
      <c r="E570" s="5" t="s">
        <v>16</v>
      </c>
    </row>
    <row r="571" spans="1:5" x14ac:dyDescent="0.3">
      <c r="A571" t="str">
        <f t="shared" si="8"/>
        <v>DE Evercare® Health Plans</v>
      </c>
      <c r="B571" s="1" t="s">
        <v>479</v>
      </c>
      <c r="C571" s="1" t="s">
        <v>408</v>
      </c>
      <c r="D571" s="1" t="str">
        <f>IFERROR(VLOOKUP(A571,'MLR Data'!$A$2:$D$706,4,0),"")</f>
        <v/>
      </c>
      <c r="E571" s="5" t="s">
        <v>20</v>
      </c>
    </row>
    <row r="572" spans="1:5" x14ac:dyDescent="0.3">
      <c r="A572" t="str">
        <f t="shared" si="8"/>
        <v>DE Cigna-HealthSpring</v>
      </c>
      <c r="B572" s="1" t="s">
        <v>479</v>
      </c>
      <c r="C572" s="1" t="s">
        <v>373</v>
      </c>
      <c r="D572" s="1" t="s">
        <v>9</v>
      </c>
      <c r="E572" s="3" t="s">
        <v>853</v>
      </c>
    </row>
    <row r="573" spans="1:5" x14ac:dyDescent="0.3">
      <c r="A573" t="str">
        <f t="shared" si="8"/>
        <v>FL Today's Option</v>
      </c>
      <c r="B573" s="1" t="s">
        <v>482</v>
      </c>
      <c r="C573" s="1" t="s">
        <v>416</v>
      </c>
      <c r="D573" s="1" t="str">
        <f>IFERROR(VLOOKUP(A573,'MLR Data'!$A$2:$D$706,4,0),"")</f>
        <v/>
      </c>
      <c r="E573" s="5" t="s">
        <v>85</v>
      </c>
    </row>
    <row r="574" spans="1:5" x14ac:dyDescent="0.3">
      <c r="A574" t="str">
        <f t="shared" si="8"/>
        <v>FL Leon Medical Centers Health Plans, Inc.</v>
      </c>
      <c r="B574" s="1" t="s">
        <v>482</v>
      </c>
      <c r="C574" s="1" t="s">
        <v>509</v>
      </c>
      <c r="D574" s="1" t="str">
        <f>IFERROR(VLOOKUP(A574,'MLR Data'!$A$2:$D$706,4,0),"")</f>
        <v/>
      </c>
      <c r="E574" s="3" t="s">
        <v>853</v>
      </c>
    </row>
    <row r="575" spans="1:5" x14ac:dyDescent="0.3">
      <c r="A575" t="str">
        <f t="shared" si="8"/>
        <v>FL Florida Health Care Plan, Inc.</v>
      </c>
      <c r="B575" s="1" t="s">
        <v>482</v>
      </c>
      <c r="C575" s="1" t="s">
        <v>511</v>
      </c>
      <c r="D575" s="1" t="str">
        <f>IFERROR(VLOOKUP(A575,'MLR Data'!$A$2:$D$706,4,0),"")</f>
        <v/>
      </c>
      <c r="E575" s="5" t="s">
        <v>80</v>
      </c>
    </row>
    <row r="576" spans="1:5" x14ac:dyDescent="0.3">
      <c r="A576" t="str">
        <f t="shared" si="8"/>
        <v>FL AARP MedicareComplete from SecureHorizons</v>
      </c>
      <c r="B576" s="1" t="s">
        <v>482</v>
      </c>
      <c r="C576" s="1" t="s">
        <v>473</v>
      </c>
      <c r="D576" s="1" t="str">
        <f>IFERROR(VLOOKUP(A576,'MLR Data'!$A$2:$D$706,4,0),"")</f>
        <v/>
      </c>
      <c r="E576" s="5" t="s">
        <v>20</v>
      </c>
    </row>
    <row r="577" spans="1:5" x14ac:dyDescent="0.3">
      <c r="A577" t="str">
        <f t="shared" si="8"/>
        <v>IA Coventry Health Care</v>
      </c>
      <c r="B577" s="1" t="s">
        <v>536</v>
      </c>
      <c r="C577" s="1" t="s">
        <v>380</v>
      </c>
      <c r="D577" s="1" t="str">
        <f>IFERROR(VLOOKUP(A577,'MLR Data'!$A$2:$D$706,4,0),"")</f>
        <v/>
      </c>
      <c r="E577" s="5" t="s">
        <v>121</v>
      </c>
    </row>
    <row r="578" spans="1:5" x14ac:dyDescent="0.3">
      <c r="A578" t="str">
        <f t="shared" ref="A578:A641" si="9">B578&amp;" "&amp;C578</f>
        <v>ID Humana Health Plan, Inc.</v>
      </c>
      <c r="B578" s="1" t="s">
        <v>539</v>
      </c>
      <c r="C578" s="1" t="s">
        <v>13</v>
      </c>
      <c r="D578" s="1" t="str">
        <f>IFERROR(VLOOKUP(A578,'MLR Data'!$A$2:$D$706,4,0),"")</f>
        <v>Humana Health Plan, Inc.</v>
      </c>
      <c r="E578" s="3" t="s">
        <v>13</v>
      </c>
    </row>
    <row r="579" spans="1:5" x14ac:dyDescent="0.3">
      <c r="A579" t="str">
        <f t="shared" si="9"/>
        <v>IL OSF Care Preferred</v>
      </c>
      <c r="B579" s="1" t="s">
        <v>543</v>
      </c>
      <c r="C579" s="1" t="s">
        <v>545</v>
      </c>
      <c r="D579" s="1" t="str">
        <f>IFERROR(VLOOKUP(A579,'MLR Data'!$A$2:$D$706,4,0),"")</f>
        <v/>
      </c>
      <c r="E579" s="3" t="s">
        <v>853</v>
      </c>
    </row>
    <row r="580" spans="1:5" x14ac:dyDescent="0.3">
      <c r="A580" t="str">
        <f t="shared" si="9"/>
        <v>IN SecureHorizons</v>
      </c>
      <c r="B580" s="1" t="s">
        <v>549</v>
      </c>
      <c r="C580" s="1" t="s">
        <v>374</v>
      </c>
      <c r="D580" s="1" t="str">
        <f>IFERROR(VLOOKUP(A580,'MLR Data'!$A$2:$D$706,4,0),"")</f>
        <v/>
      </c>
      <c r="E580" s="5" t="s">
        <v>20</v>
      </c>
    </row>
    <row r="581" spans="1:5" x14ac:dyDescent="0.3">
      <c r="A581" t="str">
        <f t="shared" si="9"/>
        <v>KS Coventry Health Care of Kansas, Inc.</v>
      </c>
      <c r="B581" s="1" t="s">
        <v>555</v>
      </c>
      <c r="C581" s="1" t="s">
        <v>128</v>
      </c>
      <c r="D581" s="1" t="str">
        <f>IFERROR(VLOOKUP(A581,'MLR Data'!$A$2:$D$706,4,0),"")</f>
        <v>Coventry Health Care of Kansas, Inc.</v>
      </c>
      <c r="E581" s="3" t="s">
        <v>128</v>
      </c>
    </row>
    <row r="582" spans="1:5" x14ac:dyDescent="0.3">
      <c r="A582" t="str">
        <f t="shared" si="9"/>
        <v>KY Humana Health Plan, Inc.</v>
      </c>
      <c r="B582" s="1" t="s">
        <v>559</v>
      </c>
      <c r="C582" s="1" t="s">
        <v>13</v>
      </c>
      <c r="D582" s="1" t="str">
        <f>IFERROR(VLOOKUP(A582,'MLR Data'!$A$2:$D$706,4,0),"")</f>
        <v>Humana Health Plan, Inc.</v>
      </c>
      <c r="E582" s="3" t="s">
        <v>13</v>
      </c>
    </row>
    <row r="583" spans="1:5" x14ac:dyDescent="0.3">
      <c r="A583" t="str">
        <f t="shared" si="9"/>
        <v>LA Humana Health Benefit Plan of Louisiana, Inc.</v>
      </c>
      <c r="B583" s="1" t="s">
        <v>561</v>
      </c>
      <c r="C583" s="1" t="s">
        <v>136</v>
      </c>
      <c r="D583" s="1" t="str">
        <f>IFERROR(VLOOKUP(A583,'MLR Data'!$A$2:$D$706,4,0),"")</f>
        <v>Humana Health Benefit Plan of Louisiana, Inc.</v>
      </c>
      <c r="E583" s="3" t="s">
        <v>136</v>
      </c>
    </row>
    <row r="584" spans="1:5" x14ac:dyDescent="0.3">
      <c r="A584" t="str">
        <f t="shared" si="9"/>
        <v>LA HUMANA HEALTH BENEFIT PLAN OF LOUISIANA, INC.</v>
      </c>
      <c r="B584" s="1" t="s">
        <v>561</v>
      </c>
      <c r="C584" s="1" t="s">
        <v>563</v>
      </c>
      <c r="D584" s="1" t="str">
        <f>IFERROR(VLOOKUP(A584,'MLR Data'!$A$2:$D$706,4,0),"")</f>
        <v>Humana Health Benefit Plan of Louisiana, Inc.</v>
      </c>
      <c r="E584" s="3" t="s">
        <v>136</v>
      </c>
    </row>
    <row r="585" spans="1:5" x14ac:dyDescent="0.3">
      <c r="A585" t="str">
        <f t="shared" si="9"/>
        <v>LA CIGNA Medicare Access</v>
      </c>
      <c r="B585" s="1" t="s">
        <v>561</v>
      </c>
      <c r="C585" s="1" t="s">
        <v>429</v>
      </c>
      <c r="D585" s="1" t="str">
        <f>IFERROR(VLOOKUP(A585,'MLR Data'!$A$2:$D$706,4,0),"")</f>
        <v/>
      </c>
      <c r="E585" s="5" t="s">
        <v>9</v>
      </c>
    </row>
    <row r="586" spans="1:5" x14ac:dyDescent="0.3">
      <c r="A586" t="str">
        <f t="shared" si="9"/>
        <v>LA Universal Health Care Insurance Company, Inc.</v>
      </c>
      <c r="B586" s="1" t="s">
        <v>561</v>
      </c>
      <c r="C586" s="1" t="s">
        <v>405</v>
      </c>
      <c r="D586" s="1" t="str">
        <f>IFERROR(VLOOKUP(A586,'MLR Data'!$A$2:$D$706,4,0),"")</f>
        <v/>
      </c>
      <c r="E586" s="3" t="s">
        <v>853</v>
      </c>
    </row>
    <row r="587" spans="1:5" x14ac:dyDescent="0.3">
      <c r="A587" t="str">
        <f t="shared" si="9"/>
        <v>LA UNIVERSAL HEALTH CARE INSURANCE COMPANY, INC.</v>
      </c>
      <c r="B587" s="1" t="s">
        <v>561</v>
      </c>
      <c r="C587" s="1" t="s">
        <v>394</v>
      </c>
      <c r="D587" s="1" t="str">
        <f>IFERROR(VLOOKUP(A587,'MLR Data'!$A$2:$D$706,4,0),"")</f>
        <v/>
      </c>
      <c r="E587" s="3" t="s">
        <v>853</v>
      </c>
    </row>
    <row r="588" spans="1:5" x14ac:dyDescent="0.3">
      <c r="A588" t="str">
        <f t="shared" si="9"/>
        <v>MA Commonwealth Care Alliance, Inc.</v>
      </c>
      <c r="B588" s="1" t="s">
        <v>569</v>
      </c>
      <c r="C588" s="1" t="s">
        <v>574</v>
      </c>
      <c r="D588" s="1" t="str">
        <f>IFERROR(VLOOKUP(A588,'MLR Data'!$A$2:$D$706,4,0),"")</f>
        <v/>
      </c>
      <c r="E588" s="3" t="s">
        <v>853</v>
      </c>
    </row>
    <row r="589" spans="1:5" x14ac:dyDescent="0.3">
      <c r="A589" t="str">
        <f t="shared" si="9"/>
        <v>MA Tufts Health Plan Medicare Preferred</v>
      </c>
      <c r="B589" s="1" t="s">
        <v>569</v>
      </c>
      <c r="C589" s="1" t="s">
        <v>585</v>
      </c>
      <c r="D589" s="1" t="str">
        <f>IFERROR(VLOOKUP(A589,'MLR Data'!$A$2:$D$706,4,0),"")</f>
        <v/>
      </c>
      <c r="E589" s="5" t="s">
        <v>67</v>
      </c>
    </row>
    <row r="590" spans="1:5" x14ac:dyDescent="0.3">
      <c r="A590" t="str">
        <f t="shared" si="9"/>
        <v>MD Care Improvement Plus</v>
      </c>
      <c r="B590" s="1" t="s">
        <v>586</v>
      </c>
      <c r="C590" s="1" t="s">
        <v>385</v>
      </c>
      <c r="D590" s="1" t="str">
        <f>IFERROR(VLOOKUP(A590,'MLR Data'!$A$2:$D$706,4,0),"")</f>
        <v/>
      </c>
      <c r="E590" s="3" t="s">
        <v>853</v>
      </c>
    </row>
    <row r="591" spans="1:5" x14ac:dyDescent="0.3">
      <c r="A591" t="str">
        <f t="shared" si="9"/>
        <v>MI UnitedHealthcare Community Plan</v>
      </c>
      <c r="B591" s="1" t="s">
        <v>592</v>
      </c>
      <c r="C591" s="1" t="s">
        <v>389</v>
      </c>
      <c r="D591" s="1" t="str">
        <f>IFERROR(VLOOKUP(A591,'MLR Data'!$A$2:$D$706,4,0),"")</f>
        <v/>
      </c>
      <c r="E591" s="5" t="s">
        <v>20</v>
      </c>
    </row>
    <row r="592" spans="1:5" x14ac:dyDescent="0.3">
      <c r="A592" t="str">
        <f t="shared" si="9"/>
        <v>MS Advantra® Freedom</v>
      </c>
      <c r="B592" s="1" t="s">
        <v>626</v>
      </c>
      <c r="C592" s="1" t="s">
        <v>387</v>
      </c>
      <c r="D592" s="1" t="str">
        <f>IFERROR(VLOOKUP(A592,'MLR Data'!$A$2:$D$706,4,0),"")</f>
        <v/>
      </c>
      <c r="E592" s="5" t="s">
        <v>4</v>
      </c>
    </row>
    <row r="593" spans="1:5" x14ac:dyDescent="0.3">
      <c r="A593" t="str">
        <f t="shared" si="9"/>
        <v>MS Humana Medical Plan, Inc.</v>
      </c>
      <c r="B593" s="1" t="s">
        <v>626</v>
      </c>
      <c r="C593" s="1" t="s">
        <v>86</v>
      </c>
      <c r="D593" s="1" t="str">
        <f>IFERROR(VLOOKUP(A593,'MLR Data'!$A$2:$D$706,4,0),"")</f>
        <v>Humana Medical Plan, Inc.</v>
      </c>
      <c r="E593" s="3" t="s">
        <v>86</v>
      </c>
    </row>
    <row r="594" spans="1:5" x14ac:dyDescent="0.3">
      <c r="A594" t="str">
        <f t="shared" si="9"/>
        <v>NC Fidelis SecureCare of North Carolina</v>
      </c>
      <c r="B594" s="1" t="s">
        <v>629</v>
      </c>
      <c r="C594" s="1" t="s">
        <v>632</v>
      </c>
      <c r="D594" s="1" t="str">
        <f>IFERROR(VLOOKUP(A594,'MLR Data'!$A$2:$D$706,4,0),"")</f>
        <v/>
      </c>
      <c r="E594" s="3" t="s">
        <v>853</v>
      </c>
    </row>
    <row r="595" spans="1:5" x14ac:dyDescent="0.3">
      <c r="A595" t="str">
        <f t="shared" si="9"/>
        <v>NC Today's Option</v>
      </c>
      <c r="B595" s="1" t="s">
        <v>629</v>
      </c>
      <c r="C595" s="1" t="s">
        <v>416</v>
      </c>
      <c r="D595" s="1" t="str">
        <f>IFERROR(VLOOKUP(A595,'MLR Data'!$A$2:$D$706,4,0),"")</f>
        <v/>
      </c>
      <c r="E595" s="5" t="s">
        <v>15</v>
      </c>
    </row>
    <row r="596" spans="1:5" x14ac:dyDescent="0.3">
      <c r="A596" t="str">
        <f t="shared" si="9"/>
        <v>NC America's 1st Choice Insurance Company of NC</v>
      </c>
      <c r="B596" s="1" t="s">
        <v>629</v>
      </c>
      <c r="C596" s="1" t="s">
        <v>635</v>
      </c>
      <c r="D596" s="1" t="str">
        <f>IFERROR(VLOOKUP(A596,'MLR Data'!$A$2:$D$706,4,0),"")</f>
        <v/>
      </c>
      <c r="E596" s="3" t="s">
        <v>853</v>
      </c>
    </row>
    <row r="597" spans="1:5" x14ac:dyDescent="0.3">
      <c r="A597" t="str">
        <f t="shared" si="9"/>
        <v>NE Unicare Life &amp; Health Ins. Company</v>
      </c>
      <c r="B597" s="1" t="s">
        <v>638</v>
      </c>
      <c r="C597" s="1" t="s">
        <v>415</v>
      </c>
      <c r="D597" s="1" t="str">
        <f>IFERROR(VLOOKUP(A597,'MLR Data'!$A$2:$D$706,4,0),"")</f>
        <v/>
      </c>
      <c r="E597" s="5" t="s">
        <v>16</v>
      </c>
    </row>
    <row r="598" spans="1:5" x14ac:dyDescent="0.3">
      <c r="A598" t="str">
        <f t="shared" si="9"/>
        <v>NH Humana Insurance Company</v>
      </c>
      <c r="B598" s="1" t="s">
        <v>640</v>
      </c>
      <c r="C598" s="1" t="s">
        <v>372</v>
      </c>
      <c r="D598" s="1" t="s">
        <v>15</v>
      </c>
      <c r="E598" s="3" t="s">
        <v>853</v>
      </c>
    </row>
    <row r="599" spans="1:5" x14ac:dyDescent="0.3">
      <c r="A599" t="str">
        <f t="shared" si="9"/>
        <v>NJ Evercare® by UnitedHealthcare</v>
      </c>
      <c r="B599" s="1" t="s">
        <v>641</v>
      </c>
      <c r="C599" s="1" t="s">
        <v>396</v>
      </c>
      <c r="D599" s="1" t="str">
        <f>IFERROR(VLOOKUP(A599,'MLR Data'!$A$2:$D$706,4,0),"")</f>
        <v/>
      </c>
      <c r="E599" s="5" t="s">
        <v>20</v>
      </c>
    </row>
    <row r="600" spans="1:5" x14ac:dyDescent="0.3">
      <c r="A600" t="str">
        <f t="shared" si="9"/>
        <v>NM SecureHorizons MedicareDirect</v>
      </c>
      <c r="B600" s="1" t="s">
        <v>649</v>
      </c>
      <c r="C600" s="1" t="s">
        <v>390</v>
      </c>
      <c r="D600" s="1" t="str">
        <f>IFERROR(VLOOKUP(A600,'MLR Data'!$A$2:$D$706,4,0),"")</f>
        <v/>
      </c>
      <c r="E600" s="5" t="s">
        <v>20</v>
      </c>
    </row>
    <row r="601" spans="1:5" x14ac:dyDescent="0.3">
      <c r="A601" t="str">
        <f t="shared" si="9"/>
        <v>NM HISC - Blue Cross Blue Shield of New Mexico</v>
      </c>
      <c r="B601" s="1" t="s">
        <v>649</v>
      </c>
      <c r="C601" s="1" t="s">
        <v>652</v>
      </c>
      <c r="D601" s="1" t="str">
        <f>IFERROR(VLOOKUP(A601,'MLR Data'!$A$2:$D$706,4,0),"")</f>
        <v/>
      </c>
      <c r="E601" s="3" t="s">
        <v>853</v>
      </c>
    </row>
    <row r="602" spans="1:5" x14ac:dyDescent="0.3">
      <c r="A602" t="str">
        <f t="shared" si="9"/>
        <v>NM Evercare® by UnitedHealthcare</v>
      </c>
      <c r="B602" s="1" t="s">
        <v>649</v>
      </c>
      <c r="C602" s="1" t="s">
        <v>396</v>
      </c>
      <c r="D602" s="1" t="str">
        <f>IFERROR(VLOOKUP(A602,'MLR Data'!$A$2:$D$706,4,0),"")</f>
        <v/>
      </c>
      <c r="E602" s="5" t="s">
        <v>20</v>
      </c>
    </row>
    <row r="603" spans="1:5" x14ac:dyDescent="0.3">
      <c r="A603" t="str">
        <f t="shared" si="9"/>
        <v>NM PHYSICIANS HEALTH CHOICE OF NEW MEXICO</v>
      </c>
      <c r="B603" s="1" t="s">
        <v>649</v>
      </c>
      <c r="C603" s="1" t="s">
        <v>658</v>
      </c>
      <c r="D603" s="1" t="str">
        <f>IFERROR(VLOOKUP(A603,'MLR Data'!$A$2:$D$706,4,0),"")</f>
        <v/>
      </c>
      <c r="E603" s="3" t="s">
        <v>853</v>
      </c>
    </row>
    <row r="604" spans="1:5" x14ac:dyDescent="0.3">
      <c r="A604" t="str">
        <f t="shared" si="9"/>
        <v>NV CareMore Health Plan of Nevada</v>
      </c>
      <c r="B604" s="1" t="s">
        <v>660</v>
      </c>
      <c r="C604" s="1" t="s">
        <v>661</v>
      </c>
      <c r="D604" s="1" t="str">
        <f>IFERROR(VLOOKUP(A604,'MLR Data'!$A$2:$D$706,4,0),"")</f>
        <v/>
      </c>
      <c r="E604" s="3" t="s">
        <v>853</v>
      </c>
    </row>
    <row r="605" spans="1:5" x14ac:dyDescent="0.3">
      <c r="A605" t="str">
        <f t="shared" si="9"/>
        <v>NV Humana Health Plan, Inc.</v>
      </c>
      <c r="B605" s="1" t="s">
        <v>660</v>
      </c>
      <c r="C605" s="1" t="s">
        <v>13</v>
      </c>
      <c r="D605" s="1" t="str">
        <f>IFERROR(VLOOKUP(A605,'MLR Data'!$A$2:$D$706,4,0),"")</f>
        <v>Humana Health Plan, Inc.</v>
      </c>
      <c r="E605" s="3" t="s">
        <v>13</v>
      </c>
    </row>
    <row r="606" spans="1:5" x14ac:dyDescent="0.3">
      <c r="A606" t="str">
        <f t="shared" si="9"/>
        <v>NY CDPHP Medicare Choice</v>
      </c>
      <c r="B606" s="1" t="s">
        <v>665</v>
      </c>
      <c r="C606" s="1" t="s">
        <v>672</v>
      </c>
      <c r="D606" s="1" t="str">
        <f>IFERROR(VLOOKUP(A606,'MLR Data'!$A$2:$D$706,4,0),"")</f>
        <v/>
      </c>
      <c r="E606" s="5" t="s">
        <v>220</v>
      </c>
    </row>
    <row r="607" spans="1:5" x14ac:dyDescent="0.3">
      <c r="A607" t="str">
        <f t="shared" si="9"/>
        <v>NY Health Net Of NY</v>
      </c>
      <c r="B607" s="1" t="s">
        <v>665</v>
      </c>
      <c r="C607" s="1" t="s">
        <v>694</v>
      </c>
      <c r="D607" s="1" t="str">
        <f>IFERROR(VLOOKUP(A607,'MLR Data'!$A$2:$D$706,4,0),"")</f>
        <v/>
      </c>
      <c r="E607" s="5" t="s">
        <v>845</v>
      </c>
    </row>
    <row r="608" spans="1:5" x14ac:dyDescent="0.3">
      <c r="A608" t="str">
        <f t="shared" si="9"/>
        <v>NY UnitedHealthcare Community Plan</v>
      </c>
      <c r="B608" s="1" t="s">
        <v>665</v>
      </c>
      <c r="C608" s="1" t="s">
        <v>389</v>
      </c>
      <c r="D608" s="1" t="str">
        <f>IFERROR(VLOOKUP(A608,'MLR Data'!$A$2:$D$706,4,0),"")</f>
        <v/>
      </c>
      <c r="E608" s="5" t="s">
        <v>236</v>
      </c>
    </row>
    <row r="609" spans="1:5" x14ac:dyDescent="0.3">
      <c r="A609" t="str">
        <f t="shared" si="9"/>
        <v>NY Advantra® Freedom</v>
      </c>
      <c r="B609" s="1" t="s">
        <v>665</v>
      </c>
      <c r="C609" s="1" t="s">
        <v>387</v>
      </c>
      <c r="D609" s="1" t="str">
        <f>IFERROR(VLOOKUP(A609,'MLR Data'!$A$2:$D$706,4,0),"")</f>
        <v/>
      </c>
      <c r="E609" s="5" t="s">
        <v>217</v>
      </c>
    </row>
    <row r="610" spans="1:5" x14ac:dyDescent="0.3">
      <c r="A610" t="str">
        <f t="shared" si="9"/>
        <v>NY Today's Options</v>
      </c>
      <c r="B610" s="1" t="s">
        <v>665</v>
      </c>
      <c r="C610" s="1" t="s">
        <v>431</v>
      </c>
      <c r="D610" s="1" t="str">
        <f>IFERROR(VLOOKUP(A610,'MLR Data'!$A$2:$D$706,4,0),"")</f>
        <v/>
      </c>
      <c r="E610" s="3" t="s">
        <v>853</v>
      </c>
    </row>
    <row r="611" spans="1:5" x14ac:dyDescent="0.3">
      <c r="A611" t="str">
        <f t="shared" si="9"/>
        <v>OK Advantra® Freedom</v>
      </c>
      <c r="B611" s="1" t="s">
        <v>722</v>
      </c>
      <c r="C611" s="1" t="s">
        <v>387</v>
      </c>
      <c r="D611" s="1" t="str">
        <f>IFERROR(VLOOKUP(A611,'MLR Data'!$A$2:$D$706,4,0),"")</f>
        <v/>
      </c>
      <c r="E611" s="5" t="s">
        <v>26</v>
      </c>
    </row>
    <row r="612" spans="1:5" x14ac:dyDescent="0.3">
      <c r="A612" t="str">
        <f t="shared" si="9"/>
        <v>OK Generations Healthcare</v>
      </c>
      <c r="B612" s="1" t="s">
        <v>722</v>
      </c>
      <c r="C612" s="1" t="s">
        <v>727</v>
      </c>
      <c r="D612" s="1" t="str">
        <f>IFERROR(VLOOKUP(A612,'MLR Data'!$A$2:$D$706,4,0),"")</f>
        <v/>
      </c>
      <c r="E612" s="3" t="s">
        <v>853</v>
      </c>
    </row>
    <row r="613" spans="1:5" x14ac:dyDescent="0.3">
      <c r="A613" t="str">
        <f t="shared" si="9"/>
        <v>PA Evercare® Health Plans</v>
      </c>
      <c r="B613" s="1" t="s">
        <v>744</v>
      </c>
      <c r="C613" s="1" t="s">
        <v>408</v>
      </c>
      <c r="D613" s="1" t="str">
        <f>IFERROR(VLOOKUP(A613,'MLR Data'!$A$2:$D$706,4,0),"")</f>
        <v/>
      </c>
      <c r="E613" s="5" t="s">
        <v>20</v>
      </c>
    </row>
    <row r="614" spans="1:5" x14ac:dyDescent="0.3">
      <c r="A614" t="str">
        <f t="shared" si="9"/>
        <v>SC Southeast Community Care</v>
      </c>
      <c r="B614" s="1" t="s">
        <v>775</v>
      </c>
      <c r="C614" s="1" t="s">
        <v>524</v>
      </c>
      <c r="D614" s="1" t="str">
        <f>IFERROR(VLOOKUP(A614,'MLR Data'!$A$2:$D$706,4,0),"")</f>
        <v/>
      </c>
      <c r="E614" s="3" t="s">
        <v>853</v>
      </c>
    </row>
    <row r="615" spans="1:5" x14ac:dyDescent="0.3">
      <c r="A615" t="str">
        <f t="shared" si="9"/>
        <v>SC Unicare Life &amp; Health Ins. Company</v>
      </c>
      <c r="B615" s="1" t="s">
        <v>775</v>
      </c>
      <c r="C615" s="1" t="s">
        <v>415</v>
      </c>
      <c r="D615" s="1" t="str">
        <f>IFERROR(VLOOKUP(A615,'MLR Data'!$A$2:$D$706,4,0),"")</f>
        <v/>
      </c>
      <c r="E615" s="5" t="s">
        <v>16</v>
      </c>
    </row>
    <row r="616" spans="1:5" x14ac:dyDescent="0.3">
      <c r="A616" t="str">
        <f t="shared" si="9"/>
        <v>SC AARP MedicareComplete from SecureHorizons</v>
      </c>
      <c r="B616" s="1" t="s">
        <v>775</v>
      </c>
      <c r="C616" s="1" t="s">
        <v>473</v>
      </c>
      <c r="D616" s="1" t="str">
        <f>IFERROR(VLOOKUP(A616,'MLR Data'!$A$2:$D$706,4,0),"")</f>
        <v/>
      </c>
      <c r="E616" s="5" t="s">
        <v>20</v>
      </c>
    </row>
    <row r="617" spans="1:5" x14ac:dyDescent="0.3">
      <c r="A617" t="str">
        <f t="shared" si="9"/>
        <v>SC Sterling Life Insurance Company</v>
      </c>
      <c r="B617" s="1" t="s">
        <v>775</v>
      </c>
      <c r="C617" s="1" t="s">
        <v>391</v>
      </c>
      <c r="D617" s="1" t="str">
        <f>IFERROR(VLOOKUP(A617,'MLR Data'!$A$2:$D$706,4,0),"")</f>
        <v/>
      </c>
      <c r="E617" s="3" t="s">
        <v>853</v>
      </c>
    </row>
    <row r="618" spans="1:5" x14ac:dyDescent="0.3">
      <c r="A618" t="str">
        <f t="shared" si="9"/>
        <v>SD SecureHorizons by UnitedHealthcare</v>
      </c>
      <c r="B618" s="1" t="s">
        <v>783</v>
      </c>
      <c r="C618" s="1" t="s">
        <v>368</v>
      </c>
      <c r="D618" s="1" t="str">
        <f>IFERROR(VLOOKUP(A618,'MLR Data'!$A$2:$D$706,4,0),"")</f>
        <v/>
      </c>
      <c r="E618" s="5" t="s">
        <v>20</v>
      </c>
    </row>
    <row r="619" spans="1:5" x14ac:dyDescent="0.3">
      <c r="A619" t="str">
        <f t="shared" si="9"/>
        <v>TX Amerigroup Community Care</v>
      </c>
      <c r="B619" s="1" t="s">
        <v>791</v>
      </c>
      <c r="C619" s="1" t="s">
        <v>521</v>
      </c>
      <c r="D619" s="1" t="str">
        <f>IFERROR(VLOOKUP(A619,'MLR Data'!$A$2:$D$706,4,0),"")</f>
        <v/>
      </c>
      <c r="E619" s="3" t="s">
        <v>853</v>
      </c>
    </row>
    <row r="620" spans="1:5" x14ac:dyDescent="0.3">
      <c r="A620" t="str">
        <f t="shared" si="9"/>
        <v>TX AMERIGROUP Community Care</v>
      </c>
      <c r="B620" s="1" t="s">
        <v>791</v>
      </c>
      <c r="C620" s="1" t="s">
        <v>514</v>
      </c>
      <c r="D620" s="1" t="str">
        <f>IFERROR(VLOOKUP(A620,'MLR Data'!$A$2:$D$706,4,0),"")</f>
        <v/>
      </c>
      <c r="E620" s="3" t="s">
        <v>853</v>
      </c>
    </row>
    <row r="621" spans="1:5" x14ac:dyDescent="0.3">
      <c r="A621" t="str">
        <f t="shared" si="9"/>
        <v>TX Valley Baptist Health Plans</v>
      </c>
      <c r="B621" s="1" t="s">
        <v>791</v>
      </c>
      <c r="C621" s="1" t="s">
        <v>800</v>
      </c>
      <c r="D621" s="1" t="str">
        <f>IFERROR(VLOOKUP(A621,'MLR Data'!$A$2:$D$706,4,0),"")</f>
        <v/>
      </c>
      <c r="E621" s="3" t="s">
        <v>853</v>
      </c>
    </row>
    <row r="622" spans="1:5" x14ac:dyDescent="0.3">
      <c r="A622" t="str">
        <f t="shared" si="9"/>
        <v>UT Humana Medical Plan of Utah</v>
      </c>
      <c r="B622" s="1" t="s">
        <v>813</v>
      </c>
      <c r="C622" s="1" t="s">
        <v>817</v>
      </c>
      <c r="D622" s="1" t="str">
        <f>IFERROR(VLOOKUP(A622,'MLR Data'!$A$2:$D$706,4,0),"")</f>
        <v/>
      </c>
      <c r="E622" s="5" t="s">
        <v>15</v>
      </c>
    </row>
    <row r="623" spans="1:5" x14ac:dyDescent="0.3">
      <c r="A623" t="str">
        <f t="shared" si="9"/>
        <v>UT Sierra Health and Life Insurance Company, Inc.</v>
      </c>
      <c r="B623" s="1" t="s">
        <v>813</v>
      </c>
      <c r="C623" s="1" t="s">
        <v>31</v>
      </c>
      <c r="D623" s="1" t="str">
        <f>IFERROR(VLOOKUP(A623,'MLR Data'!$A$2:$D$706,4,0),"")</f>
        <v>Sierra Health and Life Insurance Company, Inc.</v>
      </c>
      <c r="E623" s="3" t="s">
        <v>31</v>
      </c>
    </row>
    <row r="624" spans="1:5" x14ac:dyDescent="0.3">
      <c r="A624" t="str">
        <f t="shared" si="9"/>
        <v>UT Sterling Life Insurance Company</v>
      </c>
      <c r="B624" s="1" t="s">
        <v>813</v>
      </c>
      <c r="C624" s="1" t="s">
        <v>391</v>
      </c>
      <c r="D624" s="1" t="str">
        <f>IFERROR(VLOOKUP(A624,'MLR Data'!$A$2:$D$706,4,0),"")</f>
        <v/>
      </c>
      <c r="E624" s="3" t="s">
        <v>853</v>
      </c>
    </row>
    <row r="625" spans="1:5" x14ac:dyDescent="0.3">
      <c r="A625" t="str">
        <f t="shared" si="9"/>
        <v>WA Asuris Northwest Health</v>
      </c>
      <c r="B625" s="1" t="s">
        <v>824</v>
      </c>
      <c r="C625" s="1" t="s">
        <v>255</v>
      </c>
      <c r="D625" s="1" t="str">
        <f>IFERROR(VLOOKUP(A625,'MLR Data'!$A$2:$D$706,4,0),"")</f>
        <v>Asuris Northwest Health</v>
      </c>
      <c r="E625" s="3" t="s">
        <v>255</v>
      </c>
    </row>
    <row r="626" spans="1:5" x14ac:dyDescent="0.3">
      <c r="A626" t="str">
        <f t="shared" si="9"/>
        <v>WA Arcadian Health Plan, Inc.</v>
      </c>
      <c r="B626" s="1" t="s">
        <v>824</v>
      </c>
      <c r="C626" s="1" t="s">
        <v>462</v>
      </c>
      <c r="D626" s="1" t="str">
        <f>IFERROR(VLOOKUP(A626,'MLR Data'!$A$2:$D$706,4,0),"")</f>
        <v/>
      </c>
      <c r="E626" s="5" t="s">
        <v>15</v>
      </c>
    </row>
    <row r="627" spans="1:5" x14ac:dyDescent="0.3">
      <c r="A627" t="str">
        <f t="shared" si="9"/>
        <v>WI Community Care</v>
      </c>
      <c r="B627" s="1" t="s">
        <v>830</v>
      </c>
      <c r="C627" s="1" t="s">
        <v>838</v>
      </c>
      <c r="D627" s="1" t="str">
        <f>IFERROR(VLOOKUP(A627,'MLR Data'!$A$2:$D$706,4,0),"")</f>
        <v/>
      </c>
      <c r="E627" s="3" t="s">
        <v>853</v>
      </c>
    </row>
    <row r="628" spans="1:5" x14ac:dyDescent="0.3">
      <c r="A628" t="str">
        <f t="shared" si="9"/>
        <v>WI Anthem Insurance Companies, Inc.</v>
      </c>
      <c r="B628" s="1" t="s">
        <v>830</v>
      </c>
      <c r="C628" s="1" t="s">
        <v>118</v>
      </c>
      <c r="D628" s="1" t="str">
        <f>IFERROR(VLOOKUP(A628,'MLR Data'!$A$2:$D$706,4,0),"")</f>
        <v/>
      </c>
      <c r="E628" s="3" t="s">
        <v>853</v>
      </c>
    </row>
    <row r="629" spans="1:5" x14ac:dyDescent="0.3">
      <c r="A629" t="str">
        <f t="shared" si="9"/>
        <v>AR WellCare</v>
      </c>
      <c r="B629" s="1" t="s">
        <v>376</v>
      </c>
      <c r="C629" s="1" t="s">
        <v>381</v>
      </c>
      <c r="D629" s="1" t="str">
        <f>IFERROR(VLOOKUP(A629,'MLR Data'!$A$2:$D$706,4,0),"")</f>
        <v/>
      </c>
    </row>
    <row r="630" spans="1:5" x14ac:dyDescent="0.3">
      <c r="A630" t="str">
        <f t="shared" si="9"/>
        <v>AZ SecureHorizons</v>
      </c>
      <c r="B630" s="1" t="s">
        <v>388</v>
      </c>
      <c r="C630" s="1" t="s">
        <v>374</v>
      </c>
      <c r="D630" s="1" t="str">
        <f>IFERROR(VLOOKUP(A630,'MLR Data'!$A$2:$D$706,4,0),"")</f>
        <v/>
      </c>
      <c r="E630" s="5" t="s">
        <v>20</v>
      </c>
    </row>
    <row r="631" spans="1:5" x14ac:dyDescent="0.3">
      <c r="A631" t="str">
        <f t="shared" si="9"/>
        <v>AZ Abrazo Advantage Health Plan</v>
      </c>
      <c r="B631" s="1" t="s">
        <v>388</v>
      </c>
      <c r="C631" s="1" t="s">
        <v>403</v>
      </c>
      <c r="D631" s="1" t="str">
        <f>IFERROR(VLOOKUP(A631,'MLR Data'!$A$2:$D$706,4,0),"")</f>
        <v/>
      </c>
      <c r="E631" s="5" t="s">
        <v>853</v>
      </c>
    </row>
    <row r="632" spans="1:5" x14ac:dyDescent="0.3">
      <c r="A632" t="str">
        <f t="shared" si="9"/>
        <v>AZ SCAN Health Plan Arizona</v>
      </c>
      <c r="B632" s="1" t="s">
        <v>388</v>
      </c>
      <c r="C632" s="1" t="s">
        <v>406</v>
      </c>
      <c r="D632" s="1" t="str">
        <f>IFERROR(VLOOKUP(A632,'MLR Data'!$A$2:$D$706,4,0),"")</f>
        <v/>
      </c>
      <c r="E632" s="5" t="s">
        <v>853</v>
      </c>
    </row>
    <row r="633" spans="1:5" x14ac:dyDescent="0.3">
      <c r="A633" t="str">
        <f t="shared" si="9"/>
        <v>CA On Lok Lifeways</v>
      </c>
      <c r="B633" s="1" t="s">
        <v>418</v>
      </c>
      <c r="C633" s="1" t="s">
        <v>419</v>
      </c>
      <c r="D633" s="1" t="str">
        <f>IFERROR(VLOOKUP(A633,'MLR Data'!$A$2:$D$706,4,0),"")</f>
        <v/>
      </c>
      <c r="E633" s="3" t="s">
        <v>853</v>
      </c>
    </row>
    <row r="634" spans="1:5" x14ac:dyDescent="0.3">
      <c r="A634" t="str">
        <f t="shared" si="9"/>
        <v>CA Today's Option</v>
      </c>
      <c r="B634" s="1" t="s">
        <v>418</v>
      </c>
      <c r="C634" s="1" t="s">
        <v>416</v>
      </c>
      <c r="D634" s="1" t="str">
        <f>IFERROR(VLOOKUP(A634,'MLR Data'!$A$2:$D$706,4,0),"")</f>
        <v/>
      </c>
      <c r="E634" s="5" t="s">
        <v>15</v>
      </c>
    </row>
    <row r="635" spans="1:5" x14ac:dyDescent="0.3">
      <c r="A635" t="str">
        <f t="shared" si="9"/>
        <v>CA WellCare</v>
      </c>
      <c r="B635" s="1" t="s">
        <v>418</v>
      </c>
      <c r="C635" s="1" t="s">
        <v>381</v>
      </c>
      <c r="D635" s="1" t="str">
        <f>IFERROR(VLOOKUP(A635,'MLR Data'!$A$2:$D$706,4,0),"")</f>
        <v/>
      </c>
      <c r="E635" s="3" t="s">
        <v>853</v>
      </c>
    </row>
    <row r="636" spans="1:5" x14ac:dyDescent="0.3">
      <c r="A636" t="str">
        <f t="shared" si="9"/>
        <v>CA Partnership HealthPlan of California</v>
      </c>
      <c r="B636" s="1" t="s">
        <v>418</v>
      </c>
      <c r="C636" s="1" t="s">
        <v>447</v>
      </c>
      <c r="D636" s="1" t="str">
        <f>IFERROR(VLOOKUP(A636,'MLR Data'!$A$2:$D$706,4,0),"")</f>
        <v/>
      </c>
      <c r="E636" s="3" t="s">
        <v>853</v>
      </c>
    </row>
    <row r="637" spans="1:5" x14ac:dyDescent="0.3">
      <c r="A637" t="str">
        <f t="shared" si="9"/>
        <v>CO Advantra® Freedom</v>
      </c>
      <c r="B637" s="1" t="s">
        <v>464</v>
      </c>
      <c r="C637" s="1" t="s">
        <v>387</v>
      </c>
      <c r="D637" s="1" t="str">
        <f>IFERROR(VLOOKUP(A637,'MLR Data'!$A$2:$D$706,4,0),"")</f>
        <v/>
      </c>
      <c r="E637" s="5" t="s">
        <v>26</v>
      </c>
    </row>
    <row r="638" spans="1:5" x14ac:dyDescent="0.3">
      <c r="A638" t="str">
        <f t="shared" si="9"/>
        <v>CT Evercare® Health Plans</v>
      </c>
      <c r="B638" s="1" t="s">
        <v>474</v>
      </c>
      <c r="C638" s="1" t="s">
        <v>408</v>
      </c>
      <c r="D638" s="1" t="str">
        <f>IFERROR(VLOOKUP(A638,'MLR Data'!$A$2:$D$706,4,0),"")</f>
        <v/>
      </c>
      <c r="E638" s="5" t="s">
        <v>20</v>
      </c>
    </row>
    <row r="639" spans="1:5" x14ac:dyDescent="0.3">
      <c r="A639" t="str">
        <f t="shared" si="9"/>
        <v>DE Evercare® by UnitedHealthcare</v>
      </c>
      <c r="B639" s="1" t="s">
        <v>479</v>
      </c>
      <c r="C639" s="1" t="s">
        <v>396</v>
      </c>
      <c r="D639" s="1" t="s">
        <v>20</v>
      </c>
      <c r="E639" s="5" t="s">
        <v>20</v>
      </c>
    </row>
    <row r="640" spans="1:5" x14ac:dyDescent="0.3">
      <c r="A640" t="str">
        <f t="shared" si="9"/>
        <v>DE Sterling Life Insurance Company</v>
      </c>
      <c r="B640" s="1" t="s">
        <v>479</v>
      </c>
      <c r="C640" s="1" t="s">
        <v>391</v>
      </c>
      <c r="D640" s="1" t="str">
        <f>IFERROR(VLOOKUP(A640,'MLR Data'!$A$2:$D$706,4,0),"")</f>
        <v/>
      </c>
      <c r="E640" s="3" t="s">
        <v>853</v>
      </c>
    </row>
    <row r="641" spans="1:5" x14ac:dyDescent="0.3">
      <c r="A641" t="str">
        <f t="shared" si="9"/>
        <v>FL American Pioneer Healh Plans</v>
      </c>
      <c r="B641" s="1" t="s">
        <v>482</v>
      </c>
      <c r="C641" s="1" t="s">
        <v>488</v>
      </c>
      <c r="D641" s="1" t="str">
        <f>IFERROR(VLOOKUP(A641,'MLR Data'!$A$2:$D$706,4,0),"")</f>
        <v/>
      </c>
      <c r="E641" s="3" t="s">
        <v>853</v>
      </c>
    </row>
    <row r="642" spans="1:5" x14ac:dyDescent="0.3">
      <c r="A642" t="str">
        <f t="shared" ref="A642:A705" si="10">B642&amp;" "&amp;C642</f>
        <v>FL Health First Medicare Plans</v>
      </c>
      <c r="B642" s="1" t="s">
        <v>482</v>
      </c>
      <c r="C642" s="1" t="s">
        <v>492</v>
      </c>
      <c r="D642" s="1" t="str">
        <f>IFERROR(VLOOKUP(A642,'MLR Data'!$A$2:$D$706,4,0),"")</f>
        <v/>
      </c>
      <c r="E642" s="5" t="s">
        <v>82</v>
      </c>
    </row>
    <row r="643" spans="1:5" x14ac:dyDescent="0.3">
      <c r="A643" t="str">
        <f t="shared" si="10"/>
        <v>FL Molina Healthcare of Florida</v>
      </c>
      <c r="B643" s="1" t="s">
        <v>482</v>
      </c>
      <c r="C643" s="1" t="s">
        <v>497</v>
      </c>
      <c r="D643" s="1" t="str">
        <f>IFERROR(VLOOKUP(A643,'MLR Data'!$A$2:$D$706,4,0),"")</f>
        <v/>
      </c>
      <c r="E643" s="3" t="s">
        <v>853</v>
      </c>
    </row>
    <row r="644" spans="1:5" x14ac:dyDescent="0.3">
      <c r="A644" t="str">
        <f t="shared" si="10"/>
        <v>FL HealthSpring of Florida, Inc.</v>
      </c>
      <c r="B644" s="1" t="s">
        <v>482</v>
      </c>
      <c r="C644" s="1" t="s">
        <v>510</v>
      </c>
      <c r="D644" s="1" t="str">
        <f>IFERROR(VLOOKUP(A644,'MLR Data'!$A$2:$D$706,4,0),"")</f>
        <v/>
      </c>
      <c r="E644" s="3" t="s">
        <v>853</v>
      </c>
    </row>
    <row r="645" spans="1:5" x14ac:dyDescent="0.3">
      <c r="A645" t="str">
        <f t="shared" si="10"/>
        <v>GA HealthSpring Life &amp; Health</v>
      </c>
      <c r="B645" s="1" t="s">
        <v>523</v>
      </c>
      <c r="C645" s="1" t="s">
        <v>526</v>
      </c>
      <c r="D645" s="1" t="str">
        <f>IFERROR(VLOOKUP(A645,'MLR Data'!$A$2:$D$706,4,0),"")</f>
        <v/>
      </c>
      <c r="E645" s="3" t="s">
        <v>853</v>
      </c>
    </row>
    <row r="646" spans="1:5" x14ac:dyDescent="0.3">
      <c r="A646" t="str">
        <f t="shared" si="10"/>
        <v>GA Anthem Insurance Companies, Inc.</v>
      </c>
      <c r="B646" s="1" t="s">
        <v>523</v>
      </c>
      <c r="C646" s="1" t="s">
        <v>118</v>
      </c>
      <c r="D646" s="1" t="str">
        <f>IFERROR(VLOOKUP(A646,'MLR Data'!$A$2:$D$706,4,0),"")</f>
        <v/>
      </c>
      <c r="E646" s="3" t="s">
        <v>853</v>
      </c>
    </row>
    <row r="647" spans="1:5" x14ac:dyDescent="0.3">
      <c r="A647" t="str">
        <f t="shared" si="10"/>
        <v>GA Evercare® Health Plans</v>
      </c>
      <c r="B647" s="1" t="s">
        <v>523</v>
      </c>
      <c r="C647" s="1" t="s">
        <v>408</v>
      </c>
      <c r="D647" s="1" t="str">
        <f>IFERROR(VLOOKUP(A647,'MLR Data'!$A$2:$D$706,4,0),"")</f>
        <v/>
      </c>
      <c r="E647" s="5" t="s">
        <v>20</v>
      </c>
    </row>
    <row r="648" spans="1:5" x14ac:dyDescent="0.3">
      <c r="A648" t="str">
        <f t="shared" si="10"/>
        <v>HI 'Ohana Health Plan</v>
      </c>
      <c r="B648" s="1" t="s">
        <v>529</v>
      </c>
      <c r="C648" s="1" t="s">
        <v>533</v>
      </c>
      <c r="D648" s="1" t="str">
        <f>IFERROR(VLOOKUP(A648,'MLR Data'!$A$2:$D$706,4,0),"")</f>
        <v/>
      </c>
      <c r="E648" s="3" t="s">
        <v>853</v>
      </c>
    </row>
    <row r="649" spans="1:5" x14ac:dyDescent="0.3">
      <c r="A649" t="str">
        <f t="shared" si="10"/>
        <v>IA Aetna Medicare</v>
      </c>
      <c r="B649" s="1" t="s">
        <v>536</v>
      </c>
      <c r="C649" s="1" t="s">
        <v>407</v>
      </c>
      <c r="D649" s="1" t="str">
        <f>IFERROR(VLOOKUP(A649,'MLR Data'!$A$2:$D$706,4,0),"")</f>
        <v/>
      </c>
      <c r="E649" s="5" t="s">
        <v>4</v>
      </c>
    </row>
    <row r="650" spans="1:5" x14ac:dyDescent="0.3">
      <c r="A650" t="str">
        <f t="shared" si="10"/>
        <v>IA Universal American</v>
      </c>
      <c r="B650" s="1" t="s">
        <v>536</v>
      </c>
      <c r="C650" s="1" t="s">
        <v>384</v>
      </c>
      <c r="D650" s="1" t="str">
        <f>IFERROR(VLOOKUP(A650,'MLR Data'!$A$2:$D$706,4,0),"")</f>
        <v/>
      </c>
      <c r="E650" s="3" t="s">
        <v>853</v>
      </c>
    </row>
    <row r="651" spans="1:5" x14ac:dyDescent="0.3">
      <c r="A651" t="str">
        <f t="shared" si="10"/>
        <v>IL AARP MedicareComplete from SecureHorizons</v>
      </c>
      <c r="B651" s="1" t="s">
        <v>543</v>
      </c>
      <c r="C651" s="1" t="s">
        <v>473</v>
      </c>
      <c r="D651" s="1" t="str">
        <f>IFERROR(VLOOKUP(A651,'MLR Data'!$A$2:$D$706,4,0),"")</f>
        <v/>
      </c>
      <c r="E651" s="5" t="s">
        <v>20</v>
      </c>
    </row>
    <row r="652" spans="1:5" x14ac:dyDescent="0.3">
      <c r="A652" t="str">
        <f t="shared" si="10"/>
        <v>IL Universal American</v>
      </c>
      <c r="B652" s="1" t="s">
        <v>543</v>
      </c>
      <c r="C652" s="1" t="s">
        <v>384</v>
      </c>
      <c r="D652" s="1" t="str">
        <f>IFERROR(VLOOKUP(A652,'MLR Data'!$A$2:$D$706,4,0),"")</f>
        <v/>
      </c>
      <c r="E652" s="3" t="s">
        <v>853</v>
      </c>
    </row>
    <row r="653" spans="1:5" x14ac:dyDescent="0.3">
      <c r="A653" t="str">
        <f t="shared" si="10"/>
        <v>IN Today's Option</v>
      </c>
      <c r="B653" s="1" t="s">
        <v>549</v>
      </c>
      <c r="C653" s="1" t="s">
        <v>416</v>
      </c>
      <c r="D653" s="1" t="str">
        <f>IFERROR(VLOOKUP(A653,'MLR Data'!$A$2:$D$706,4,0),"")</f>
        <v/>
      </c>
      <c r="E653" s="5" t="s">
        <v>13</v>
      </c>
    </row>
    <row r="654" spans="1:5" x14ac:dyDescent="0.3">
      <c r="A654" t="str">
        <f t="shared" si="10"/>
        <v>IN Humana Health Plan, Inc.</v>
      </c>
      <c r="B654" s="1" t="s">
        <v>549</v>
      </c>
      <c r="C654" s="1" t="s">
        <v>13</v>
      </c>
      <c r="D654" s="1" t="str">
        <f>IFERROR(VLOOKUP(A654,'MLR Data'!$A$2:$D$706,4,0),"")</f>
        <v>Humana Health Plan, Inc.</v>
      </c>
      <c r="E654" s="3" t="s">
        <v>13</v>
      </c>
    </row>
    <row r="655" spans="1:5" x14ac:dyDescent="0.3">
      <c r="A655" t="str">
        <f t="shared" si="10"/>
        <v>KY Humana Health Plan of Ohio, Inc.</v>
      </c>
      <c r="B655" s="1" t="s">
        <v>559</v>
      </c>
      <c r="C655" s="1" t="s">
        <v>132</v>
      </c>
      <c r="D655" s="1" t="str">
        <f>IFERROR(VLOOKUP(A655,'MLR Data'!$A$2:$D$706,4,0),"")</f>
        <v>Humana Health Plan of Ohio, Inc.</v>
      </c>
      <c r="E655" s="3" t="s">
        <v>132</v>
      </c>
    </row>
    <row r="656" spans="1:5" x14ac:dyDescent="0.3">
      <c r="A656" t="str">
        <f t="shared" si="10"/>
        <v>MD Erickson Advantage</v>
      </c>
      <c r="B656" s="1" t="s">
        <v>586</v>
      </c>
      <c r="C656" s="1" t="s">
        <v>546</v>
      </c>
      <c r="D656" s="1" t="str">
        <f>IFERROR(VLOOKUP(A656,'MLR Data'!$A$2:$D$706,4,0),"")</f>
        <v/>
      </c>
      <c r="E656" s="3" t="s">
        <v>853</v>
      </c>
    </row>
    <row r="657" spans="1:5" x14ac:dyDescent="0.3">
      <c r="A657" t="str">
        <f t="shared" si="10"/>
        <v>MD AMERIGROUP Community Care</v>
      </c>
      <c r="B657" s="1" t="s">
        <v>586</v>
      </c>
      <c r="C657" s="1" t="s">
        <v>514</v>
      </c>
      <c r="D657" s="1" t="str">
        <f>IFERROR(VLOOKUP(A657,'MLR Data'!$A$2:$D$706,4,0),"")</f>
        <v/>
      </c>
      <c r="E657" s="3" t="s">
        <v>853</v>
      </c>
    </row>
    <row r="658" spans="1:5" x14ac:dyDescent="0.3">
      <c r="A658" t="str">
        <f t="shared" si="10"/>
        <v>MD Amerigroup Community Care</v>
      </c>
      <c r="B658" s="1" t="s">
        <v>586</v>
      </c>
      <c r="C658" s="1" t="s">
        <v>521</v>
      </c>
      <c r="D658" s="1" t="str">
        <f>IFERROR(VLOOKUP(A658,'MLR Data'!$A$2:$D$706,4,0),"")</f>
        <v/>
      </c>
      <c r="E658" s="3" t="s">
        <v>853</v>
      </c>
    </row>
    <row r="659" spans="1:5" x14ac:dyDescent="0.3">
      <c r="A659" t="str">
        <f t="shared" si="10"/>
        <v>MI HealthPlus</v>
      </c>
      <c r="B659" s="1" t="s">
        <v>592</v>
      </c>
      <c r="C659" s="1" t="s">
        <v>597</v>
      </c>
      <c r="D659" s="1" t="str">
        <f>IFERROR(VLOOKUP(A659,'MLR Data'!$A$2:$D$706,4,0),"")</f>
        <v/>
      </c>
      <c r="E659" s="5" t="s">
        <v>167</v>
      </c>
    </row>
    <row r="660" spans="1:5" x14ac:dyDescent="0.3">
      <c r="A660" t="str">
        <f t="shared" si="10"/>
        <v>MI WellCare</v>
      </c>
      <c r="B660" s="1" t="s">
        <v>592</v>
      </c>
      <c r="C660" s="1" t="s">
        <v>381</v>
      </c>
      <c r="D660" s="1" t="str">
        <f>IFERROR(VLOOKUP(A660,'MLR Data'!$A$2:$D$706,4,0),"")</f>
        <v/>
      </c>
      <c r="E660" s="3" t="s">
        <v>853</v>
      </c>
    </row>
    <row r="661" spans="1:5" x14ac:dyDescent="0.3">
      <c r="A661" t="str">
        <f t="shared" si="10"/>
        <v>MN FirstPlan Blue</v>
      </c>
      <c r="B661" s="1" t="s">
        <v>608</v>
      </c>
      <c r="C661" s="1" t="s">
        <v>618</v>
      </c>
      <c r="D661" s="1" t="str">
        <f>IFERROR(VLOOKUP(A661,'MLR Data'!$A$2:$D$706,4,0),"")</f>
        <v/>
      </c>
      <c r="E661" s="5" t="s">
        <v>177</v>
      </c>
    </row>
    <row r="662" spans="1:5" x14ac:dyDescent="0.3">
      <c r="A662" t="str">
        <f t="shared" si="10"/>
        <v>MO SecureHorizons MedicareDirect</v>
      </c>
      <c r="B662" s="1" t="s">
        <v>621</v>
      </c>
      <c r="C662" s="1" t="s">
        <v>390</v>
      </c>
      <c r="D662" s="1" t="str">
        <f>IFERROR(VLOOKUP(A662,'MLR Data'!$A$2:$D$706,4,0),"")</f>
        <v/>
      </c>
      <c r="E662" s="5" t="s">
        <v>20</v>
      </c>
    </row>
    <row r="663" spans="1:5" x14ac:dyDescent="0.3">
      <c r="A663" t="str">
        <f t="shared" si="10"/>
        <v>MO Coventry Health Care of Kansas, Inc.</v>
      </c>
      <c r="B663" s="1" t="s">
        <v>621</v>
      </c>
      <c r="C663" s="1" t="s">
        <v>128</v>
      </c>
      <c r="D663" s="1" t="str">
        <f>IFERROR(VLOOKUP(A663,'MLR Data'!$A$2:$D$706,4,0),"")</f>
        <v>Coventry Health Care of Kansas, Inc.</v>
      </c>
      <c r="E663" s="3" t="s">
        <v>128</v>
      </c>
    </row>
    <row r="664" spans="1:5" x14ac:dyDescent="0.3">
      <c r="A664" t="str">
        <f t="shared" si="10"/>
        <v>MO AARP MedicareComplete provided by SecureHorizons</v>
      </c>
      <c r="B664" s="1" t="s">
        <v>621</v>
      </c>
      <c r="C664" s="1" t="s">
        <v>468</v>
      </c>
      <c r="D664" s="1" t="str">
        <f>IFERROR(VLOOKUP(A664,'MLR Data'!$A$2:$D$706,4,0),"")</f>
        <v/>
      </c>
      <c r="E664" s="5" t="s">
        <v>20</v>
      </c>
    </row>
    <row r="665" spans="1:5" x14ac:dyDescent="0.3">
      <c r="A665" t="str">
        <f t="shared" si="10"/>
        <v>MO Mercy Health Plans</v>
      </c>
      <c r="B665" s="1" t="s">
        <v>621</v>
      </c>
      <c r="C665" s="1" t="s">
        <v>382</v>
      </c>
      <c r="D665" s="1" t="str">
        <f>IFERROR(VLOOKUP(A665,'MLR Data'!$A$2:$D$706,4,0),"")</f>
        <v/>
      </c>
      <c r="E665" s="3" t="s">
        <v>853</v>
      </c>
    </row>
    <row r="666" spans="1:5" x14ac:dyDescent="0.3">
      <c r="A666" t="str">
        <f t="shared" si="10"/>
        <v>MS Universal American Corp.</v>
      </c>
      <c r="B666" s="1" t="s">
        <v>626</v>
      </c>
      <c r="C666" s="1" t="s">
        <v>383</v>
      </c>
      <c r="D666" s="1" t="str">
        <f>IFERROR(VLOOKUP(A666,'MLR Data'!$A$2:$D$706,4,0),"")</f>
        <v/>
      </c>
      <c r="E666" s="3" t="s">
        <v>853</v>
      </c>
    </row>
    <row r="667" spans="1:5" x14ac:dyDescent="0.3">
      <c r="A667" t="str">
        <f t="shared" si="10"/>
        <v>MS SecureHorizons MedicareDirect</v>
      </c>
      <c r="B667" s="1" t="s">
        <v>626</v>
      </c>
      <c r="C667" s="1" t="s">
        <v>390</v>
      </c>
      <c r="D667" s="1" t="str">
        <f>IFERROR(VLOOKUP(A667,'MLR Data'!$A$2:$D$706,4,0),"")</f>
        <v/>
      </c>
      <c r="E667" s="5" t="s">
        <v>20</v>
      </c>
    </row>
    <row r="668" spans="1:5" x14ac:dyDescent="0.3">
      <c r="A668" t="str">
        <f t="shared" si="10"/>
        <v>MT SecureHorizons MedicareDirect</v>
      </c>
      <c r="B668" s="1" t="s">
        <v>628</v>
      </c>
      <c r="C668" s="1" t="s">
        <v>390</v>
      </c>
      <c r="D668" s="1" t="str">
        <f>IFERROR(VLOOKUP(A668,'MLR Data'!$A$2:$D$706,4,0),"")</f>
        <v/>
      </c>
      <c r="E668" s="5" t="s">
        <v>20</v>
      </c>
    </row>
    <row r="669" spans="1:5" x14ac:dyDescent="0.3">
      <c r="A669" t="str">
        <f t="shared" si="10"/>
        <v>MT Universal American</v>
      </c>
      <c r="B669" s="1" t="s">
        <v>628</v>
      </c>
      <c r="C669" s="1" t="s">
        <v>384</v>
      </c>
      <c r="D669" s="1" t="str">
        <f>IFERROR(VLOOKUP(A669,'MLR Data'!$A$2:$D$706,4,0),"")</f>
        <v/>
      </c>
      <c r="E669" s="3" t="s">
        <v>853</v>
      </c>
    </row>
    <row r="670" spans="1:5" x14ac:dyDescent="0.3">
      <c r="A670" t="str">
        <f t="shared" si="10"/>
        <v>NC SecureHorizons</v>
      </c>
      <c r="B670" s="1" t="s">
        <v>629</v>
      </c>
      <c r="C670" s="1" t="s">
        <v>374</v>
      </c>
      <c r="D670" s="1" t="str">
        <f>IFERROR(VLOOKUP(A670,'MLR Data'!$A$2:$D$706,4,0),"")</f>
        <v/>
      </c>
      <c r="E670" s="5" t="s">
        <v>20</v>
      </c>
    </row>
    <row r="671" spans="1:5" x14ac:dyDescent="0.3">
      <c r="A671" t="str">
        <f t="shared" si="10"/>
        <v>NC Blue Cross and Blue Shield of North Carolina</v>
      </c>
      <c r="B671" s="1" t="s">
        <v>629</v>
      </c>
      <c r="C671" s="1" t="s">
        <v>634</v>
      </c>
      <c r="D671" s="1" t="str">
        <f>IFERROR(VLOOKUP(A671,'MLR Data'!$A$2:$D$706,4,0),"")</f>
        <v/>
      </c>
      <c r="E671" s="5" t="s">
        <v>238</v>
      </c>
    </row>
    <row r="672" spans="1:5" x14ac:dyDescent="0.3">
      <c r="A672" t="str">
        <f t="shared" si="10"/>
        <v>NE Coventry Health and Life Insurance Company</v>
      </c>
      <c r="B672" s="1" t="s">
        <v>638</v>
      </c>
      <c r="C672" s="1" t="s">
        <v>537</v>
      </c>
      <c r="D672" s="1" t="str">
        <f>IFERROR(VLOOKUP(A672,'MLR Data'!$A$2:$D$706,4,0),"")</f>
        <v/>
      </c>
      <c r="E672" s="5" t="s">
        <v>35</v>
      </c>
    </row>
    <row r="673" spans="1:5" x14ac:dyDescent="0.3">
      <c r="A673" t="str">
        <f t="shared" si="10"/>
        <v>NE SecureHorizons</v>
      </c>
      <c r="B673" s="1" t="s">
        <v>638</v>
      </c>
      <c r="C673" s="1" t="s">
        <v>374</v>
      </c>
      <c r="D673" s="1" t="str">
        <f>IFERROR(VLOOKUP(A673,'MLR Data'!$A$2:$D$706,4,0),"")</f>
        <v/>
      </c>
      <c r="E673" s="5" t="s">
        <v>20</v>
      </c>
    </row>
    <row r="674" spans="1:5" x14ac:dyDescent="0.3">
      <c r="A674" t="str">
        <f t="shared" si="10"/>
        <v>NH HARVARD PILGRIM HEALTH CARE INC.</v>
      </c>
      <c r="B674" s="1" t="s">
        <v>640</v>
      </c>
      <c r="C674" s="1" t="s">
        <v>572</v>
      </c>
      <c r="D674" s="1" t="s">
        <v>142</v>
      </c>
      <c r="E674" s="3" t="s">
        <v>853</v>
      </c>
    </row>
    <row r="675" spans="1:5" x14ac:dyDescent="0.3">
      <c r="A675" t="str">
        <f t="shared" si="10"/>
        <v>NH CIGNA Medicare Access</v>
      </c>
      <c r="B675" s="1" t="s">
        <v>640</v>
      </c>
      <c r="C675" s="1" t="s">
        <v>429</v>
      </c>
      <c r="D675" s="1" t="s">
        <v>9</v>
      </c>
      <c r="E675" s="3" t="s">
        <v>853</v>
      </c>
    </row>
    <row r="676" spans="1:5" x14ac:dyDescent="0.3">
      <c r="A676" t="str">
        <f t="shared" si="10"/>
        <v>NJ Amerigroup Community Care</v>
      </c>
      <c r="B676" s="1" t="s">
        <v>641</v>
      </c>
      <c r="C676" s="1" t="s">
        <v>521</v>
      </c>
      <c r="D676" s="1" t="str">
        <f>IFERROR(VLOOKUP(A676,'MLR Data'!$A$2:$D$706,4,0),"")</f>
        <v/>
      </c>
      <c r="E676" s="3" t="s">
        <v>853</v>
      </c>
    </row>
    <row r="677" spans="1:5" x14ac:dyDescent="0.3">
      <c r="A677" t="str">
        <f t="shared" si="10"/>
        <v>NJ Healthfirst NJ</v>
      </c>
      <c r="B677" s="1" t="s">
        <v>641</v>
      </c>
      <c r="C677" s="1" t="s">
        <v>646</v>
      </c>
      <c r="D677" s="1" t="str">
        <f>IFERROR(VLOOKUP(A677,'MLR Data'!$A$2:$D$706,4,0),"")</f>
        <v/>
      </c>
      <c r="E677" s="3" t="s">
        <v>853</v>
      </c>
    </row>
    <row r="678" spans="1:5" x14ac:dyDescent="0.3">
      <c r="A678" t="str">
        <f t="shared" si="10"/>
        <v>NJ AMERIGROUP Community Care</v>
      </c>
      <c r="B678" s="1" t="s">
        <v>641</v>
      </c>
      <c r="C678" s="1" t="s">
        <v>514</v>
      </c>
      <c r="D678" s="1" t="str">
        <f>IFERROR(VLOOKUP(A678,'MLR Data'!$A$2:$D$706,4,0),"")</f>
        <v/>
      </c>
      <c r="E678" s="3" t="s">
        <v>853</v>
      </c>
    </row>
    <row r="679" spans="1:5" x14ac:dyDescent="0.3">
      <c r="A679" t="str">
        <f t="shared" si="10"/>
        <v>NM Humana Health Plan, Inc.</v>
      </c>
      <c r="B679" s="1" t="s">
        <v>649</v>
      </c>
      <c r="C679" s="1" t="s">
        <v>13</v>
      </c>
      <c r="D679" s="1" t="str">
        <f>IFERROR(VLOOKUP(A679,'MLR Data'!$A$2:$D$706,4,0),"")</f>
        <v>Humana Health Plan, Inc.</v>
      </c>
      <c r="E679" s="3" t="s">
        <v>13</v>
      </c>
    </row>
    <row r="680" spans="1:5" x14ac:dyDescent="0.3">
      <c r="A680" t="str">
        <f t="shared" si="10"/>
        <v>NM Molina Healthcare of New Mexico, Inc.</v>
      </c>
      <c r="B680" s="1" t="s">
        <v>649</v>
      </c>
      <c r="C680" s="1" t="s">
        <v>655</v>
      </c>
      <c r="D680" s="1" t="str">
        <f>IFERROR(VLOOKUP(A680,'MLR Data'!$A$2:$D$706,4,0),"")</f>
        <v/>
      </c>
      <c r="E680" s="3" t="s">
        <v>853</v>
      </c>
    </row>
    <row r="681" spans="1:5" x14ac:dyDescent="0.3">
      <c r="A681" t="str">
        <f t="shared" si="10"/>
        <v>NM AMERIGROUP Community Care of New Mexico</v>
      </c>
      <c r="B681" s="1" t="s">
        <v>649</v>
      </c>
      <c r="C681" s="1" t="s">
        <v>656</v>
      </c>
      <c r="D681" s="1" t="str">
        <f>IFERROR(VLOOKUP(A681,'MLR Data'!$A$2:$D$706,4,0),"")</f>
        <v/>
      </c>
      <c r="E681" s="3" t="s">
        <v>853</v>
      </c>
    </row>
    <row r="682" spans="1:5" x14ac:dyDescent="0.3">
      <c r="A682" t="str">
        <f t="shared" si="10"/>
        <v>NM Amerigroup Community Care of New Mexico</v>
      </c>
      <c r="B682" s="1" t="s">
        <v>649</v>
      </c>
      <c r="C682" s="1" t="s">
        <v>657</v>
      </c>
      <c r="D682" s="1" t="str">
        <f>IFERROR(VLOOKUP(A682,'MLR Data'!$A$2:$D$706,4,0),"")</f>
        <v/>
      </c>
      <c r="E682" s="3" t="s">
        <v>853</v>
      </c>
    </row>
    <row r="683" spans="1:5" x14ac:dyDescent="0.3">
      <c r="A683" t="str">
        <f t="shared" si="10"/>
        <v>NV Aetna Medicare</v>
      </c>
      <c r="B683" s="1" t="s">
        <v>660</v>
      </c>
      <c r="C683" s="1" t="s">
        <v>407</v>
      </c>
      <c r="D683" s="1" t="str">
        <f>IFERROR(VLOOKUP(A683,'MLR Data'!$A$2:$D$706,4,0),"")</f>
        <v/>
      </c>
      <c r="E683" s="5" t="s">
        <v>26</v>
      </c>
    </row>
    <row r="684" spans="1:5" x14ac:dyDescent="0.3">
      <c r="A684" t="str">
        <f t="shared" si="10"/>
        <v>NV Universal Health Care Insurance Company, Inc.</v>
      </c>
      <c r="B684" s="1" t="s">
        <v>660</v>
      </c>
      <c r="C684" s="1" t="s">
        <v>405</v>
      </c>
      <c r="D684" s="1" t="str">
        <f>IFERROR(VLOOKUP(A684,'MLR Data'!$A$2:$D$706,4,0),"")</f>
        <v/>
      </c>
      <c r="E684" s="3" t="s">
        <v>853</v>
      </c>
    </row>
    <row r="685" spans="1:5" x14ac:dyDescent="0.3">
      <c r="A685" t="str">
        <f t="shared" si="10"/>
        <v>NV AARP MedicareComplete provided by SecureHorizons</v>
      </c>
      <c r="B685" s="1" t="s">
        <v>660</v>
      </c>
      <c r="C685" s="1" t="s">
        <v>468</v>
      </c>
      <c r="D685" s="1" t="str">
        <f>IFERROR(VLOOKUP(A685,'MLR Data'!$A$2:$D$706,4,0),"")</f>
        <v/>
      </c>
      <c r="E685" s="5" t="s">
        <v>20</v>
      </c>
    </row>
    <row r="686" spans="1:5" x14ac:dyDescent="0.3">
      <c r="A686" t="str">
        <f t="shared" si="10"/>
        <v>NV UNIVERSAL HEALTH CARE INSURANCE COMPANY, INC.</v>
      </c>
      <c r="B686" s="1" t="s">
        <v>660</v>
      </c>
      <c r="C686" s="1" t="s">
        <v>394</v>
      </c>
      <c r="D686" s="1" t="str">
        <f>IFERROR(VLOOKUP(A686,'MLR Data'!$A$2:$D$706,4,0),"")</f>
        <v/>
      </c>
      <c r="E686" s="3" t="s">
        <v>853</v>
      </c>
    </row>
    <row r="687" spans="1:5" x14ac:dyDescent="0.3">
      <c r="A687" t="str">
        <f t="shared" si="10"/>
        <v>NY ArchCare Advantage</v>
      </c>
      <c r="B687" s="1" t="s">
        <v>665</v>
      </c>
      <c r="C687" s="1" t="s">
        <v>680</v>
      </c>
      <c r="D687" s="1" t="str">
        <f>IFERROR(VLOOKUP(A687,'MLR Data'!$A$2:$D$706,4,0),"")</f>
        <v/>
      </c>
      <c r="E687" s="3" t="s">
        <v>853</v>
      </c>
    </row>
    <row r="688" spans="1:5" x14ac:dyDescent="0.3">
      <c r="A688" t="str">
        <f t="shared" si="10"/>
        <v>NY AmeriChoice Personal Care Plus</v>
      </c>
      <c r="B688" s="1" t="s">
        <v>665</v>
      </c>
      <c r="C688" s="1" t="s">
        <v>692</v>
      </c>
      <c r="D688" s="1" t="str">
        <f>IFERROR(VLOOKUP(A688,'MLR Data'!$A$2:$D$706,4,0),"")</f>
        <v/>
      </c>
      <c r="E688" s="3" t="s">
        <v>853</v>
      </c>
    </row>
    <row r="689" spans="1:5" x14ac:dyDescent="0.3">
      <c r="A689" t="str">
        <f t="shared" si="10"/>
        <v>NY ArchCare Advantage,HMO SNP</v>
      </c>
      <c r="B689" s="1" t="s">
        <v>665</v>
      </c>
      <c r="C689" s="1" t="s">
        <v>693</v>
      </c>
      <c r="D689" s="1" t="str">
        <f>IFERROR(VLOOKUP(A689,'MLR Data'!$A$2:$D$706,4,0),"")</f>
        <v/>
      </c>
      <c r="E689" s="3" t="s">
        <v>853</v>
      </c>
    </row>
    <row r="690" spans="1:5" x14ac:dyDescent="0.3">
      <c r="A690" t="str">
        <f t="shared" si="10"/>
        <v>NY Today's Option</v>
      </c>
      <c r="B690" s="1" t="s">
        <v>665</v>
      </c>
      <c r="C690" s="1" t="s">
        <v>416</v>
      </c>
      <c r="D690" s="1" t="str">
        <f>IFERROR(VLOOKUP(A690,'MLR Data'!$A$2:$D$706,4,0),"")</f>
        <v/>
      </c>
      <c r="E690" s="3" t="s">
        <v>853</v>
      </c>
    </row>
    <row r="691" spans="1:5" x14ac:dyDescent="0.3">
      <c r="A691" t="str">
        <f t="shared" si="10"/>
        <v>NY CIGNA Medicare Access</v>
      </c>
      <c r="B691" s="1" t="s">
        <v>665</v>
      </c>
      <c r="C691" s="1" t="s">
        <v>429</v>
      </c>
      <c r="D691" s="1" t="str">
        <f>IFERROR(VLOOKUP(A691,'MLR Data'!$A$2:$D$706,4,0),"")</f>
        <v/>
      </c>
      <c r="E691" s="5" t="s">
        <v>9</v>
      </c>
    </row>
    <row r="692" spans="1:5" x14ac:dyDescent="0.3">
      <c r="A692" t="str">
        <f t="shared" si="10"/>
        <v>NY Humana Health Company of New York, Inc.</v>
      </c>
      <c r="B692" s="1" t="s">
        <v>665</v>
      </c>
      <c r="C692" s="1" t="s">
        <v>703</v>
      </c>
      <c r="D692" s="1" t="str">
        <f>IFERROR(VLOOKUP(A692,'MLR Data'!$A$2:$D$706,4,0),"")</f>
        <v/>
      </c>
      <c r="E692" s="3" t="s">
        <v>853</v>
      </c>
    </row>
    <row r="693" spans="1:5" x14ac:dyDescent="0.3">
      <c r="A693" t="str">
        <f t="shared" si="10"/>
        <v>NY Essence Healthcare</v>
      </c>
      <c r="B693" s="1" t="s">
        <v>665</v>
      </c>
      <c r="C693" s="1" t="s">
        <v>548</v>
      </c>
      <c r="D693" s="1" t="str">
        <f>IFERROR(VLOOKUP(A693,'MLR Data'!$A$2:$D$706,4,0),"")</f>
        <v/>
      </c>
      <c r="E693" s="3" t="s">
        <v>853</v>
      </c>
    </row>
    <row r="694" spans="1:5" x14ac:dyDescent="0.3">
      <c r="A694" t="str">
        <f t="shared" si="10"/>
        <v>NY Excellus BlueCross BlueShield</v>
      </c>
      <c r="B694" s="1" t="s">
        <v>665</v>
      </c>
      <c r="C694" s="1" t="s">
        <v>705</v>
      </c>
      <c r="D694" s="1" t="str">
        <f>IFERROR(VLOOKUP(A694,'MLR Data'!$A$2:$D$706,4,0),"")</f>
        <v/>
      </c>
      <c r="E694" s="5" t="s">
        <v>223</v>
      </c>
    </row>
    <row r="695" spans="1:5" x14ac:dyDescent="0.3">
      <c r="A695" t="str">
        <f t="shared" si="10"/>
        <v>NY Preferred Care GoldAnywhere</v>
      </c>
      <c r="B695" s="1" t="s">
        <v>665</v>
      </c>
      <c r="C695" s="1" t="s">
        <v>706</v>
      </c>
      <c r="D695" s="1" t="str">
        <f>IFERROR(VLOOKUP(A695,'MLR Data'!$A$2:$D$706,4,0),"")</f>
        <v/>
      </c>
      <c r="E695" s="3" t="s">
        <v>853</v>
      </c>
    </row>
    <row r="696" spans="1:5" x14ac:dyDescent="0.3">
      <c r="A696" t="str">
        <f t="shared" si="10"/>
        <v>OH Advantage Plans from Medical Mutual of Ohio</v>
      </c>
      <c r="B696" s="1" t="s">
        <v>710</v>
      </c>
      <c r="C696" s="1" t="s">
        <v>717</v>
      </c>
      <c r="D696" s="1" t="str">
        <f>IFERROR(VLOOKUP(A696,'MLR Data'!$A$2:$D$706,4,0),"")</f>
        <v/>
      </c>
      <c r="E696" s="3" t="s">
        <v>853</v>
      </c>
    </row>
    <row r="697" spans="1:5" x14ac:dyDescent="0.3">
      <c r="A697" t="str">
        <f t="shared" si="10"/>
        <v>OK Arcadian Health Plan</v>
      </c>
      <c r="B697" s="1" t="s">
        <v>722</v>
      </c>
      <c r="C697" s="1" t="s">
        <v>724</v>
      </c>
      <c r="D697" s="1" t="str">
        <f>IFERROR(VLOOKUP(A697,'MLR Data'!$A$2:$D$706,4,0),"")</f>
        <v/>
      </c>
      <c r="E697" s="5" t="s">
        <v>15</v>
      </c>
    </row>
    <row r="698" spans="1:5" x14ac:dyDescent="0.3">
      <c r="A698" t="str">
        <f t="shared" si="10"/>
        <v>OK Arcadian Heatlh Plan</v>
      </c>
      <c r="B698" s="1" t="s">
        <v>722</v>
      </c>
      <c r="C698" s="1" t="s">
        <v>725</v>
      </c>
      <c r="D698" s="1" t="str">
        <f>IFERROR(VLOOKUP(A698,'MLR Data'!$A$2:$D$706,4,0),"")</f>
        <v/>
      </c>
      <c r="E698" s="5" t="s">
        <v>15</v>
      </c>
    </row>
    <row r="699" spans="1:5" x14ac:dyDescent="0.3">
      <c r="A699" t="str">
        <f t="shared" si="10"/>
        <v>OR ODS Health Plan, Inc.</v>
      </c>
      <c r="B699" s="1" t="s">
        <v>728</v>
      </c>
      <c r="C699" s="1" t="s">
        <v>258</v>
      </c>
      <c r="D699" s="1" t="str">
        <f>IFERROR(VLOOKUP(A699,'MLR Data'!$A$2:$D$706,4,0),"")</f>
        <v>ODS Health Plan, Inc.</v>
      </c>
      <c r="E699" s="3" t="s">
        <v>258</v>
      </c>
    </row>
    <row r="700" spans="1:5" x14ac:dyDescent="0.3">
      <c r="A700" t="str">
        <f t="shared" si="10"/>
        <v>PA Geisinger Health Plan Gold Choice</v>
      </c>
      <c r="B700" s="1" t="s">
        <v>744</v>
      </c>
      <c r="C700" s="1" t="s">
        <v>763</v>
      </c>
      <c r="D700" s="1" t="str">
        <f>IFERROR(VLOOKUP(A700,'MLR Data'!$A$2:$D$706,4,0),"")</f>
        <v/>
      </c>
      <c r="E700" s="5" t="s">
        <v>270</v>
      </c>
    </row>
    <row r="701" spans="1:5" x14ac:dyDescent="0.3">
      <c r="A701" t="str">
        <f t="shared" si="10"/>
        <v>PA Personal Choice 65</v>
      </c>
      <c r="B701" s="1" t="s">
        <v>744</v>
      </c>
      <c r="C701" s="1" t="s">
        <v>764</v>
      </c>
      <c r="D701" s="1" t="str">
        <f>IFERROR(VLOOKUP(A701,'MLR Data'!$A$2:$D$706,4,0),"")</f>
        <v/>
      </c>
      <c r="E701" s="3" t="s">
        <v>853</v>
      </c>
    </row>
    <row r="702" spans="1:5" x14ac:dyDescent="0.3">
      <c r="A702" t="str">
        <f t="shared" si="10"/>
        <v>PA Today's Options</v>
      </c>
      <c r="B702" s="1" t="s">
        <v>744</v>
      </c>
      <c r="C702" s="1" t="s">
        <v>431</v>
      </c>
      <c r="D702" s="1" t="str">
        <f>IFERROR(VLOOKUP(A702,'MLR Data'!$A$2:$D$706,4,0),"")</f>
        <v/>
      </c>
      <c r="E702" s="5" t="s">
        <v>15</v>
      </c>
    </row>
    <row r="703" spans="1:5" x14ac:dyDescent="0.3">
      <c r="A703" t="str">
        <f t="shared" si="10"/>
        <v>RI SecureHorizons</v>
      </c>
      <c r="B703" s="1" t="s">
        <v>772</v>
      </c>
      <c r="C703" s="1" t="s">
        <v>374</v>
      </c>
      <c r="D703" s="1" t="str">
        <f>IFERROR(VLOOKUP(A703,'MLR Data'!$A$2:$D$706,4,0),"")</f>
        <v/>
      </c>
      <c r="E703" s="5" t="s">
        <v>20</v>
      </c>
    </row>
    <row r="704" spans="1:5" x14ac:dyDescent="0.3">
      <c r="A704" t="str">
        <f t="shared" si="10"/>
        <v>SC CIGNA Medicare Access</v>
      </c>
      <c r="B704" s="1" t="s">
        <v>775</v>
      </c>
      <c r="C704" s="1" t="s">
        <v>429</v>
      </c>
      <c r="D704" s="1" t="str">
        <f>IFERROR(VLOOKUP(A704,'MLR Data'!$A$2:$D$706,4,0),"")</f>
        <v/>
      </c>
      <c r="E704" s="5" t="s">
        <v>9</v>
      </c>
    </row>
    <row r="705" spans="1:5" x14ac:dyDescent="0.3">
      <c r="A705" t="str">
        <f t="shared" si="10"/>
        <v>SC Humana Health Plan, Inc.</v>
      </c>
      <c r="B705" s="1" t="s">
        <v>775</v>
      </c>
      <c r="C705" s="1" t="s">
        <v>13</v>
      </c>
      <c r="D705" s="1" t="str">
        <f>IFERROR(VLOOKUP(A705,'MLR Data'!$A$2:$D$706,4,0),"")</f>
        <v>Humana Health Plan, Inc.</v>
      </c>
      <c r="E705" s="3" t="s">
        <v>13</v>
      </c>
    </row>
    <row r="706" spans="1:5" x14ac:dyDescent="0.3">
      <c r="A706" t="str">
        <f t="shared" ref="A706:A769" si="11">B706&amp;" "&amp;C706</f>
        <v>TN SecureHorizons MedicareDirect</v>
      </c>
      <c r="B706" s="1" t="s">
        <v>784</v>
      </c>
      <c r="C706" s="1" t="s">
        <v>390</v>
      </c>
      <c r="D706" s="1" t="str">
        <f>IFERROR(VLOOKUP(A706,'MLR Data'!$A$2:$D$706,4,0),"")</f>
        <v/>
      </c>
      <c r="E706" s="5" t="s">
        <v>20</v>
      </c>
    </row>
    <row r="707" spans="1:5" x14ac:dyDescent="0.3">
      <c r="A707" t="str">
        <f t="shared" si="11"/>
        <v>TN SecureHorizons</v>
      </c>
      <c r="B707" s="1" t="s">
        <v>784</v>
      </c>
      <c r="C707" s="1" t="s">
        <v>374</v>
      </c>
      <c r="D707" s="1" t="str">
        <f>IFERROR(VLOOKUP(A707,'MLR Data'!$A$2:$D$706,4,0),"")</f>
        <v/>
      </c>
      <c r="E707" s="5" t="s">
        <v>20</v>
      </c>
    </row>
    <row r="708" spans="1:5" x14ac:dyDescent="0.3">
      <c r="A708" t="str">
        <f t="shared" si="11"/>
        <v>TN AARP MedicareComplete provided by SecureHorizons</v>
      </c>
      <c r="B708" s="1" t="s">
        <v>784</v>
      </c>
      <c r="C708" s="1" t="s">
        <v>468</v>
      </c>
      <c r="D708" s="1" t="str">
        <f>IFERROR(VLOOKUP(A708,'MLR Data'!$A$2:$D$706,4,0),"")</f>
        <v/>
      </c>
      <c r="E708" s="5" t="s">
        <v>20</v>
      </c>
    </row>
    <row r="709" spans="1:5" x14ac:dyDescent="0.3">
      <c r="A709" t="str">
        <f t="shared" si="11"/>
        <v>TN UnitedHealthcare Community Plan</v>
      </c>
      <c r="B709" s="1" t="s">
        <v>784</v>
      </c>
      <c r="C709" s="1" t="s">
        <v>389</v>
      </c>
      <c r="D709" s="1" t="str">
        <f>IFERROR(VLOOKUP(A709,'MLR Data'!$A$2:$D$706,4,0),"")</f>
        <v/>
      </c>
      <c r="E709" s="5" t="s">
        <v>20</v>
      </c>
    </row>
    <row r="710" spans="1:5" x14ac:dyDescent="0.3">
      <c r="A710" t="str">
        <f t="shared" si="11"/>
        <v>TX Care N’ Care Insurance Company</v>
      </c>
      <c r="B710" s="1" t="s">
        <v>791</v>
      </c>
      <c r="C710" s="1" t="s">
        <v>812</v>
      </c>
      <c r="D710" s="1" t="str">
        <f>IFERROR(VLOOKUP(A710,'MLR Data'!$A$2:$D$706,4,0),"")</f>
        <v/>
      </c>
      <c r="E710" s="3" t="s">
        <v>853</v>
      </c>
    </row>
    <row r="711" spans="1:5" x14ac:dyDescent="0.3">
      <c r="A711" t="str">
        <f t="shared" si="11"/>
        <v>VA Spokane Community Care</v>
      </c>
      <c r="B711" s="1" t="s">
        <v>819</v>
      </c>
      <c r="C711" s="1" t="s">
        <v>463</v>
      </c>
      <c r="D711" s="1" t="str">
        <f>IFERROR(VLOOKUP(A711,'MLR Data'!$A$2:$D$706,4,0),"")</f>
        <v/>
      </c>
      <c r="E711" s="3" t="s">
        <v>853</v>
      </c>
    </row>
    <row r="712" spans="1:5" x14ac:dyDescent="0.3">
      <c r="A712" t="str">
        <f t="shared" si="11"/>
        <v>VA Erickson Advantage</v>
      </c>
      <c r="B712" s="1" t="s">
        <v>819</v>
      </c>
      <c r="C712" s="1" t="s">
        <v>546</v>
      </c>
      <c r="D712" s="1" t="str">
        <f>IFERROR(VLOOKUP(A712,'MLR Data'!$A$2:$D$706,4,0),"")</f>
        <v/>
      </c>
      <c r="E712" s="3" t="s">
        <v>853</v>
      </c>
    </row>
    <row r="713" spans="1:5" x14ac:dyDescent="0.3">
      <c r="A713" t="str">
        <f t="shared" si="11"/>
        <v>VA Riverside PACE</v>
      </c>
      <c r="B713" s="1" t="s">
        <v>819</v>
      </c>
      <c r="C713" s="1" t="s">
        <v>822</v>
      </c>
      <c r="D713" s="1" t="str">
        <f>IFERROR(VLOOKUP(A713,'MLR Data'!$A$2:$D$706,4,0),"")</f>
        <v/>
      </c>
      <c r="E713" s="3" t="s">
        <v>853</v>
      </c>
    </row>
    <row r="714" spans="1:5" x14ac:dyDescent="0.3">
      <c r="A714" t="str">
        <f t="shared" si="11"/>
        <v>VA SecureHorizons</v>
      </c>
      <c r="B714" s="1" t="s">
        <v>819</v>
      </c>
      <c r="C714" s="1" t="s">
        <v>374</v>
      </c>
      <c r="D714" s="1" t="str">
        <f>IFERROR(VLOOKUP(A714,'MLR Data'!$A$2:$D$706,4,0),"")</f>
        <v/>
      </c>
      <c r="E714" s="5" t="s">
        <v>20</v>
      </c>
    </row>
    <row r="715" spans="1:5" x14ac:dyDescent="0.3">
      <c r="A715" t="str">
        <f t="shared" si="11"/>
        <v>WA Health Net Life Insurance Company</v>
      </c>
      <c r="B715" s="1" t="s">
        <v>824</v>
      </c>
      <c r="C715" s="1" t="s">
        <v>28</v>
      </c>
      <c r="D715" s="1" t="str">
        <f>IFERROR(VLOOKUP(A715,'MLR Data'!$A$2:$D$706,4,0),"")</f>
        <v>Health Net Life Insurance Company</v>
      </c>
      <c r="E715" s="3" t="s">
        <v>28</v>
      </c>
    </row>
    <row r="716" spans="1:5" x14ac:dyDescent="0.3">
      <c r="A716" t="str">
        <f t="shared" si="11"/>
        <v>WA Secure Horizons Medicare Advantage Plan</v>
      </c>
      <c r="B716" s="1" t="s">
        <v>824</v>
      </c>
      <c r="C716" s="1" t="s">
        <v>414</v>
      </c>
      <c r="D716" s="1" t="str">
        <f>IFERROR(VLOOKUP(A716,'MLR Data'!$A$2:$D$706,4,0),"")</f>
        <v/>
      </c>
      <c r="E716" s="3" t="s">
        <v>20</v>
      </c>
    </row>
    <row r="717" spans="1:5" x14ac:dyDescent="0.3">
      <c r="A717" t="str">
        <f t="shared" si="11"/>
        <v>WA Unicare Life &amp; Health Ins. Company</v>
      </c>
      <c r="B717" s="1" t="s">
        <v>824</v>
      </c>
      <c r="C717" s="1" t="s">
        <v>415</v>
      </c>
      <c r="D717" s="1" t="str">
        <f>IFERROR(VLOOKUP(A717,'MLR Data'!$A$2:$D$706,4,0),"")</f>
        <v/>
      </c>
      <c r="E717" s="5" t="s">
        <v>16</v>
      </c>
    </row>
    <row r="718" spans="1:5" x14ac:dyDescent="0.3">
      <c r="A718" t="str">
        <f t="shared" si="11"/>
        <v>WI Community Health Partnership</v>
      </c>
      <c r="B718" s="1" t="s">
        <v>830</v>
      </c>
      <c r="C718" s="1" t="s">
        <v>833</v>
      </c>
      <c r="D718" s="1" t="str">
        <f>IFERROR(VLOOKUP(A718,'MLR Data'!$A$2:$D$706,4,0),"")</f>
        <v/>
      </c>
      <c r="E718" s="3" t="s">
        <v>853</v>
      </c>
    </row>
    <row r="719" spans="1:5" x14ac:dyDescent="0.3">
      <c r="A719" t="str">
        <f t="shared" si="11"/>
        <v>AR Mercy Health Plans</v>
      </c>
      <c r="B719" s="1" t="s">
        <v>376</v>
      </c>
      <c r="C719" s="1" t="s">
        <v>382</v>
      </c>
      <c r="D719" s="1" t="str">
        <f>IFERROR(VLOOKUP(A719,'MLR Data'!$A$2:$D$706,4,0),"")</f>
        <v/>
      </c>
    </row>
    <row r="720" spans="1:5" x14ac:dyDescent="0.3">
      <c r="A720" t="str">
        <f t="shared" si="11"/>
        <v>AR Physicians Health Choice</v>
      </c>
      <c r="B720" s="1" t="s">
        <v>376</v>
      </c>
      <c r="C720" s="1" t="s">
        <v>386</v>
      </c>
      <c r="D720" s="1" t="str">
        <f>IFERROR(VLOOKUP(A720,'MLR Data'!$A$2:$D$706,4,0),"")</f>
        <v/>
      </c>
    </row>
    <row r="721" spans="1:5" x14ac:dyDescent="0.3">
      <c r="A721" t="str">
        <f t="shared" si="11"/>
        <v>AZ CIGNA HealthCare for Seniors</v>
      </c>
      <c r="B721" s="1" t="s">
        <v>388</v>
      </c>
      <c r="C721" s="1" t="s">
        <v>397</v>
      </c>
      <c r="D721" s="1" t="str">
        <f>IFERROR(VLOOKUP(A721,'MLR Data'!$A$2:$D$706,4,0),"")</f>
        <v/>
      </c>
      <c r="E721" s="5" t="s">
        <v>27</v>
      </c>
    </row>
    <row r="722" spans="1:5" x14ac:dyDescent="0.3">
      <c r="A722" t="str">
        <f t="shared" si="11"/>
        <v>AZ Mercy Care Advantage</v>
      </c>
      <c r="B722" s="1" t="s">
        <v>388</v>
      </c>
      <c r="C722" s="1" t="s">
        <v>400</v>
      </c>
      <c r="D722" s="1" t="str">
        <f>IFERROR(VLOOKUP(A722,'MLR Data'!$A$2:$D$706,4,0),"")</f>
        <v/>
      </c>
      <c r="E722" s="5" t="s">
        <v>853</v>
      </c>
    </row>
    <row r="723" spans="1:5" x14ac:dyDescent="0.3">
      <c r="A723" t="str">
        <f t="shared" si="11"/>
        <v>AZ Advantage by Bridgeway Health Solutions</v>
      </c>
      <c r="B723" s="1" t="s">
        <v>388</v>
      </c>
      <c r="C723" s="1" t="s">
        <v>402</v>
      </c>
      <c r="D723" s="1" t="str">
        <f>IFERROR(VLOOKUP(A723,'MLR Data'!$A$2:$D$706,4,0),"")</f>
        <v/>
      </c>
      <c r="E723" s="5" t="s">
        <v>853</v>
      </c>
    </row>
    <row r="724" spans="1:5" x14ac:dyDescent="0.3">
      <c r="A724" t="str">
        <f t="shared" si="11"/>
        <v>AZ Evercare® Health Plans</v>
      </c>
      <c r="B724" s="1" t="s">
        <v>388</v>
      </c>
      <c r="C724" s="1" t="s">
        <v>408</v>
      </c>
      <c r="D724" s="1" t="str">
        <f>IFERROR(VLOOKUP(A724,'MLR Data'!$A$2:$D$706,4,0),"")</f>
        <v/>
      </c>
      <c r="E724" s="5" t="s">
        <v>20</v>
      </c>
    </row>
    <row r="725" spans="1:5" x14ac:dyDescent="0.3">
      <c r="A725" t="str">
        <f t="shared" si="11"/>
        <v>AZ Advantage by Bridgeway Health Solutions HMO SNP</v>
      </c>
      <c r="B725" s="1" t="s">
        <v>388</v>
      </c>
      <c r="C725" s="1" t="s">
        <v>409</v>
      </c>
      <c r="D725" s="1" t="str">
        <f>IFERROR(VLOOKUP(A725,'MLR Data'!$A$2:$D$706,4,0),"")</f>
        <v/>
      </c>
      <c r="E725" s="5" t="s">
        <v>853</v>
      </c>
    </row>
    <row r="726" spans="1:5" x14ac:dyDescent="0.3">
      <c r="A726" t="str">
        <f t="shared" si="11"/>
        <v>AZ University Physicians/Maricopa Care Advantage</v>
      </c>
      <c r="B726" s="1" t="s">
        <v>388</v>
      </c>
      <c r="C726" s="1" t="s">
        <v>410</v>
      </c>
      <c r="D726" s="1" t="str">
        <f>IFERROR(VLOOKUP(A726,'MLR Data'!$A$2:$D$706,4,0),"")</f>
        <v/>
      </c>
      <c r="E726" s="5" t="s">
        <v>853</v>
      </c>
    </row>
    <row r="727" spans="1:5" x14ac:dyDescent="0.3">
      <c r="A727" t="str">
        <f t="shared" si="11"/>
        <v>CA Citizens Choice Health Plan</v>
      </c>
      <c r="B727" s="1" t="s">
        <v>418</v>
      </c>
      <c r="C727" s="1" t="s">
        <v>438</v>
      </c>
      <c r="D727" s="1" t="str">
        <f>IFERROR(VLOOKUP(A727,'MLR Data'!$A$2:$D$706,4,0),"")</f>
        <v/>
      </c>
      <c r="E727" s="3" t="s">
        <v>853</v>
      </c>
    </row>
    <row r="728" spans="1:5" x14ac:dyDescent="0.3">
      <c r="A728" t="str">
        <f t="shared" si="11"/>
        <v>CA San Miguel Health Plan</v>
      </c>
      <c r="B728" s="1" t="s">
        <v>418</v>
      </c>
      <c r="C728" s="1" t="s">
        <v>443</v>
      </c>
      <c r="D728" s="1" t="str">
        <f>IFERROR(VLOOKUP(A728,'MLR Data'!$A$2:$D$706,4,0),"")</f>
        <v/>
      </c>
      <c r="E728" s="3" t="s">
        <v>853</v>
      </c>
    </row>
    <row r="729" spans="1:5" x14ac:dyDescent="0.3">
      <c r="A729" t="str">
        <f t="shared" si="11"/>
        <v>CA IEHP Medicare DualChoice HMO</v>
      </c>
      <c r="B729" s="1" t="s">
        <v>418</v>
      </c>
      <c r="C729" s="1" t="s">
        <v>452</v>
      </c>
      <c r="D729" s="1" t="str">
        <f>IFERROR(VLOOKUP(A729,'MLR Data'!$A$2:$D$706,4,0),"")</f>
        <v/>
      </c>
      <c r="E729" s="3" t="s">
        <v>853</v>
      </c>
    </row>
    <row r="730" spans="1:5" x14ac:dyDescent="0.3">
      <c r="A730" t="str">
        <f t="shared" si="11"/>
        <v>CA Citizens Choice Healthplan</v>
      </c>
      <c r="B730" s="1" t="s">
        <v>418</v>
      </c>
      <c r="C730" s="1" t="s">
        <v>454</v>
      </c>
      <c r="D730" s="1" t="str">
        <f>IFERROR(VLOOKUP(A730,'MLR Data'!$A$2:$D$706,4,0),"")</f>
        <v/>
      </c>
      <c r="E730" s="3" t="s">
        <v>853</v>
      </c>
    </row>
    <row r="731" spans="1:5" x14ac:dyDescent="0.3">
      <c r="A731" t="str">
        <f t="shared" si="11"/>
        <v>CA Western Health Advantage</v>
      </c>
      <c r="B731" s="1" t="s">
        <v>418</v>
      </c>
      <c r="C731" s="1" t="s">
        <v>455</v>
      </c>
      <c r="D731" s="1" t="str">
        <f>IFERROR(VLOOKUP(A731,'MLR Data'!$A$2:$D$706,4,0),"")</f>
        <v/>
      </c>
      <c r="E731" s="3" t="s">
        <v>853</v>
      </c>
    </row>
    <row r="732" spans="1:5" x14ac:dyDescent="0.3">
      <c r="A732" t="str">
        <f t="shared" si="11"/>
        <v>CA Health Net Life Insurance Company</v>
      </c>
      <c r="B732" s="1" t="s">
        <v>418</v>
      </c>
      <c r="C732" s="1" t="s">
        <v>28</v>
      </c>
      <c r="D732" s="1" t="str">
        <f>IFERROR(VLOOKUP(A732,'MLR Data'!$A$2:$D$706,4,0),"")</f>
        <v>Health Net Life Insurance Company</v>
      </c>
      <c r="E732" s="3" t="s">
        <v>28</v>
      </c>
    </row>
    <row r="733" spans="1:5" x14ac:dyDescent="0.3">
      <c r="A733" t="str">
        <f t="shared" si="11"/>
        <v>CO Senior CommUnity Care of Colorado</v>
      </c>
      <c r="B733" s="1" t="s">
        <v>464</v>
      </c>
      <c r="C733" s="1" t="s">
        <v>470</v>
      </c>
      <c r="D733" s="1" t="str">
        <f>IFERROR(VLOOKUP(A733,'MLR Data'!$A$2:$D$706,4,0),"")</f>
        <v/>
      </c>
      <c r="E733" s="3" t="s">
        <v>853</v>
      </c>
    </row>
    <row r="734" spans="1:5" x14ac:dyDescent="0.3">
      <c r="A734" t="str">
        <f t="shared" si="11"/>
        <v>CO Denver Health Medical Plan, Inc.</v>
      </c>
      <c r="B734" s="1" t="s">
        <v>464</v>
      </c>
      <c r="C734" s="1" t="s">
        <v>53</v>
      </c>
      <c r="D734" s="1" t="str">
        <f>IFERROR(VLOOKUP(A734,'MLR Data'!$A$2:$D$706,4,0),"")</f>
        <v>Denver Health Medical Plan, Inc.</v>
      </c>
      <c r="E734" s="3" t="s">
        <v>53</v>
      </c>
    </row>
    <row r="735" spans="1:5" x14ac:dyDescent="0.3">
      <c r="A735" t="str">
        <f t="shared" si="11"/>
        <v>CO Secure Horizons Medicare Advantage Plan</v>
      </c>
      <c r="B735" s="1" t="s">
        <v>464</v>
      </c>
      <c r="C735" s="1" t="s">
        <v>414</v>
      </c>
      <c r="D735" s="1" t="str">
        <f>IFERROR(VLOOKUP(A735,'MLR Data'!$A$2:$D$706,4,0),"")</f>
        <v/>
      </c>
      <c r="E735" s="3" t="s">
        <v>20</v>
      </c>
    </row>
    <row r="736" spans="1:5" x14ac:dyDescent="0.3">
      <c r="A736" t="str">
        <f t="shared" si="11"/>
        <v>CO Anthem Insurance Companies, Inc.</v>
      </c>
      <c r="B736" s="1" t="s">
        <v>464</v>
      </c>
      <c r="C736" s="1" t="s">
        <v>118</v>
      </c>
      <c r="D736" s="1" t="str">
        <f>IFERROR(VLOOKUP(A736,'MLR Data'!$A$2:$D$706,4,0),"")</f>
        <v/>
      </c>
      <c r="E736" s="3" t="s">
        <v>853</v>
      </c>
    </row>
    <row r="737" spans="1:5" x14ac:dyDescent="0.3">
      <c r="A737" t="str">
        <f t="shared" si="11"/>
        <v>CT Health Net</v>
      </c>
      <c r="B737" s="1" t="s">
        <v>474</v>
      </c>
      <c r="C737" s="1" t="s">
        <v>461</v>
      </c>
      <c r="D737" s="1" t="str">
        <f>IFERROR(VLOOKUP(A737,'MLR Data'!$A$2:$D$706,4,0),"")</f>
        <v/>
      </c>
      <c r="E737" s="5" t="s">
        <v>28</v>
      </c>
    </row>
    <row r="738" spans="1:5" x14ac:dyDescent="0.3">
      <c r="A738" t="str">
        <f t="shared" si="11"/>
        <v>DE Bravo Health</v>
      </c>
      <c r="B738" s="1" t="s">
        <v>479</v>
      </c>
      <c r="C738" s="1" t="s">
        <v>480</v>
      </c>
      <c r="D738" s="1" t="str">
        <f>IFERROR(VLOOKUP(A738,'MLR Data'!$A$2:$D$706,4,0),"")</f>
        <v/>
      </c>
      <c r="E738" s="3" t="s">
        <v>853</v>
      </c>
    </row>
    <row r="739" spans="1:5" x14ac:dyDescent="0.3">
      <c r="A739" t="str">
        <f t="shared" si="11"/>
        <v>FL American Pioneer Life Insurance Company</v>
      </c>
      <c r="B739" s="1" t="s">
        <v>482</v>
      </c>
      <c r="C739" s="1" t="s">
        <v>490</v>
      </c>
      <c r="D739" s="1" t="str">
        <f>IFERROR(VLOOKUP(A739,'MLR Data'!$A$2:$D$706,4,0),"")</f>
        <v/>
      </c>
      <c r="E739" s="3" t="s">
        <v>853</v>
      </c>
    </row>
    <row r="740" spans="1:5" x14ac:dyDescent="0.3">
      <c r="A740" t="str">
        <f t="shared" si="11"/>
        <v>FL United Healthcare Insurance Company</v>
      </c>
      <c r="B740" s="1" t="s">
        <v>482</v>
      </c>
      <c r="C740" s="1" t="s">
        <v>504</v>
      </c>
      <c r="D740" s="1" t="str">
        <f>IFERROR(VLOOKUP(A740,'MLR Data'!$A$2:$D$706,4,0),"")</f>
        <v/>
      </c>
      <c r="E740" s="3" t="s">
        <v>853</v>
      </c>
    </row>
    <row r="741" spans="1:5" x14ac:dyDescent="0.3">
      <c r="A741" t="str">
        <f t="shared" si="11"/>
        <v>FL Humana Health Insurance Company of Florida, Inc.</v>
      </c>
      <c r="B741" s="1" t="s">
        <v>482</v>
      </c>
      <c r="C741" s="1" t="s">
        <v>85</v>
      </c>
      <c r="D741" s="1" t="str">
        <f>IFERROR(VLOOKUP(A741,'MLR Data'!$A$2:$D$706,4,0),"")</f>
        <v>Humana Health Insurance Company of Florida, Inc.</v>
      </c>
      <c r="E741" s="3" t="s">
        <v>85</v>
      </c>
    </row>
    <row r="742" spans="1:5" x14ac:dyDescent="0.3">
      <c r="A742" t="str">
        <f t="shared" si="11"/>
        <v>FL Humana Health Insurance Company of FL, Inc.</v>
      </c>
      <c r="B742" s="1" t="s">
        <v>482</v>
      </c>
      <c r="C742" s="1" t="s">
        <v>512</v>
      </c>
      <c r="D742" s="1" t="str">
        <f>IFERROR(VLOOKUP(A742,'MLR Data'!$A$2:$D$706,4,0),"")</f>
        <v/>
      </c>
      <c r="E742" s="5" t="s">
        <v>85</v>
      </c>
    </row>
    <row r="743" spans="1:5" x14ac:dyDescent="0.3">
      <c r="A743" t="str">
        <f t="shared" si="11"/>
        <v>FL AMERIGROUP Community Care</v>
      </c>
      <c r="B743" s="1" t="s">
        <v>482</v>
      </c>
      <c r="C743" s="1" t="s">
        <v>514</v>
      </c>
      <c r="D743" s="1" t="str">
        <f>IFERROR(VLOOKUP(A743,'MLR Data'!$A$2:$D$706,4,0),"")</f>
        <v/>
      </c>
      <c r="E743" s="3" t="s">
        <v>853</v>
      </c>
    </row>
    <row r="744" spans="1:5" x14ac:dyDescent="0.3">
      <c r="A744" t="str">
        <f t="shared" si="11"/>
        <v>FL Universal American</v>
      </c>
      <c r="B744" s="1" t="s">
        <v>482</v>
      </c>
      <c r="C744" s="1" t="s">
        <v>384</v>
      </c>
      <c r="D744" s="1" t="str">
        <f>IFERROR(VLOOKUP(A744,'MLR Data'!$A$2:$D$706,4,0),"")</f>
        <v/>
      </c>
      <c r="E744" s="3" t="s">
        <v>853</v>
      </c>
    </row>
    <row r="745" spans="1:5" x14ac:dyDescent="0.3">
      <c r="A745" t="str">
        <f t="shared" si="11"/>
        <v>FL JMH Health Plan</v>
      </c>
      <c r="B745" s="1" t="s">
        <v>482</v>
      </c>
      <c r="C745" s="1" t="s">
        <v>519</v>
      </c>
      <c r="D745" s="1" t="str">
        <f>IFERROR(VLOOKUP(A745,'MLR Data'!$A$2:$D$706,4,0),"")</f>
        <v/>
      </c>
      <c r="E745" s="3" t="s">
        <v>853</v>
      </c>
    </row>
    <row r="746" spans="1:5" x14ac:dyDescent="0.3">
      <c r="A746" t="str">
        <f t="shared" si="11"/>
        <v>FL UnitedHealthcare</v>
      </c>
      <c r="B746" s="1" t="s">
        <v>482</v>
      </c>
      <c r="C746" s="1" t="s">
        <v>478</v>
      </c>
      <c r="D746" s="1" t="str">
        <f>IFERROR(VLOOKUP(A746,'MLR Data'!$A$2:$D$706,4,0),"")</f>
        <v/>
      </c>
      <c r="E746" s="5" t="s">
        <v>90</v>
      </c>
    </row>
    <row r="747" spans="1:5" x14ac:dyDescent="0.3">
      <c r="A747" t="str">
        <f t="shared" si="11"/>
        <v>FL Coventry Health Plan of Florida</v>
      </c>
      <c r="B747" s="1" t="s">
        <v>482</v>
      </c>
      <c r="C747" s="1" t="s">
        <v>520</v>
      </c>
      <c r="D747" s="1" t="str">
        <f>IFERROR(VLOOKUP(A747,'MLR Data'!$A$2:$D$706,4,0),"")</f>
        <v/>
      </c>
      <c r="E747" s="5" t="s">
        <v>79</v>
      </c>
    </row>
    <row r="748" spans="1:5" x14ac:dyDescent="0.3">
      <c r="A748" t="str">
        <f t="shared" si="11"/>
        <v>FL Amerigroup Community Care</v>
      </c>
      <c r="B748" s="1" t="s">
        <v>482</v>
      </c>
      <c r="C748" s="1" t="s">
        <v>521</v>
      </c>
      <c r="D748" s="1" t="str">
        <f>IFERROR(VLOOKUP(A748,'MLR Data'!$A$2:$D$706,4,0),"")</f>
        <v/>
      </c>
      <c r="E748" s="3" t="s">
        <v>853</v>
      </c>
    </row>
    <row r="749" spans="1:5" x14ac:dyDescent="0.3">
      <c r="A749" t="str">
        <f t="shared" si="11"/>
        <v>FL Advantra® Freedom</v>
      </c>
      <c r="B749" s="1" t="s">
        <v>482</v>
      </c>
      <c r="C749" s="1" t="s">
        <v>387</v>
      </c>
      <c r="D749" s="1" t="str">
        <f>IFERROR(VLOOKUP(A749,'MLR Data'!$A$2:$D$706,4,0),"")</f>
        <v/>
      </c>
      <c r="E749" s="5" t="s">
        <v>73</v>
      </c>
    </row>
    <row r="750" spans="1:5" x14ac:dyDescent="0.3">
      <c r="A750" t="str">
        <f t="shared" si="11"/>
        <v>GA Sterling Life Insurance Company</v>
      </c>
      <c r="B750" s="1" t="s">
        <v>523</v>
      </c>
      <c r="C750" s="1" t="s">
        <v>391</v>
      </c>
      <c r="D750" s="1" t="str">
        <f>IFERROR(VLOOKUP(A750,'MLR Data'!$A$2:$D$706,4,0),"")</f>
        <v/>
      </c>
      <c r="E750" s="3" t="s">
        <v>853</v>
      </c>
    </row>
    <row r="751" spans="1:5" x14ac:dyDescent="0.3">
      <c r="A751" t="str">
        <f t="shared" si="11"/>
        <v>GA CIGNA Medicare Access</v>
      </c>
      <c r="B751" s="1" t="s">
        <v>523</v>
      </c>
      <c r="C751" s="1" t="s">
        <v>429</v>
      </c>
      <c r="D751" s="1" t="str">
        <f>IFERROR(VLOOKUP(A751,'MLR Data'!$A$2:$D$706,4,0),"")</f>
        <v/>
      </c>
      <c r="E751" s="3" t="s">
        <v>853</v>
      </c>
    </row>
    <row r="752" spans="1:5" x14ac:dyDescent="0.3">
      <c r="A752" t="str">
        <f t="shared" si="11"/>
        <v>HI WellCare</v>
      </c>
      <c r="B752" s="1" t="s">
        <v>529</v>
      </c>
      <c r="C752" s="1" t="s">
        <v>381</v>
      </c>
      <c r="D752" s="1" t="str">
        <f>IFERROR(VLOOKUP(A752,'MLR Data'!$A$2:$D$706,4,0),"")</f>
        <v/>
      </c>
      <c r="E752" s="3" t="s">
        <v>853</v>
      </c>
    </row>
    <row r="753" spans="1:5" x14ac:dyDescent="0.3">
      <c r="A753" t="str">
        <f t="shared" si="11"/>
        <v>HI SecureHorizons by UnitedHealthcare</v>
      </c>
      <c r="B753" s="1" t="s">
        <v>529</v>
      </c>
      <c r="C753" s="1" t="s">
        <v>368</v>
      </c>
      <c r="D753" s="1" t="str">
        <f>IFERROR(VLOOKUP(A753,'MLR Data'!$A$2:$D$706,4,0),"")</f>
        <v/>
      </c>
      <c r="E753" s="5" t="s">
        <v>20</v>
      </c>
    </row>
    <row r="754" spans="1:5" x14ac:dyDescent="0.3">
      <c r="A754" t="str">
        <f t="shared" si="11"/>
        <v>HI Universal American</v>
      </c>
      <c r="B754" s="1" t="s">
        <v>529</v>
      </c>
      <c r="C754" s="1" t="s">
        <v>384</v>
      </c>
      <c r="D754" s="1" t="str">
        <f>IFERROR(VLOOKUP(A754,'MLR Data'!$A$2:$D$706,4,0),"")</f>
        <v/>
      </c>
      <c r="E754" s="3" t="s">
        <v>853</v>
      </c>
    </row>
    <row r="755" spans="1:5" x14ac:dyDescent="0.3">
      <c r="A755" t="str">
        <f t="shared" si="11"/>
        <v>ID WellCare</v>
      </c>
      <c r="B755" s="1" t="s">
        <v>539</v>
      </c>
      <c r="C755" s="1" t="s">
        <v>381</v>
      </c>
      <c r="D755" s="1" t="str">
        <f>IFERROR(VLOOKUP(A755,'MLR Data'!$A$2:$D$706,4,0),"")</f>
        <v/>
      </c>
      <c r="E755" s="3" t="s">
        <v>853</v>
      </c>
    </row>
    <row r="756" spans="1:5" x14ac:dyDescent="0.3">
      <c r="A756" t="str">
        <f t="shared" si="11"/>
        <v>ID Sierra Health and Life Insurance Company, Inc.</v>
      </c>
      <c r="B756" s="1" t="s">
        <v>539</v>
      </c>
      <c r="C756" s="1" t="s">
        <v>31</v>
      </c>
      <c r="D756" s="1" t="str">
        <f>IFERROR(VLOOKUP(A756,'MLR Data'!$A$2:$D$706,4,0),"")</f>
        <v>Sierra Health and Life Insurance Company, Inc.</v>
      </c>
      <c r="E756" s="3" t="s">
        <v>31</v>
      </c>
    </row>
    <row r="757" spans="1:5" x14ac:dyDescent="0.3">
      <c r="A757" t="str">
        <f t="shared" si="11"/>
        <v>IL Cigna-HealthSpring</v>
      </c>
      <c r="B757" s="1" t="s">
        <v>543</v>
      </c>
      <c r="C757" s="1" t="s">
        <v>373</v>
      </c>
      <c r="D757" s="1" t="str">
        <f>IFERROR(VLOOKUP(A757,'MLR Data'!$A$2:$D$706,4,0),"")</f>
        <v/>
      </c>
      <c r="E757" s="3" t="s">
        <v>853</v>
      </c>
    </row>
    <row r="758" spans="1:5" x14ac:dyDescent="0.3">
      <c r="A758" t="str">
        <f t="shared" si="11"/>
        <v>IL Erickson Advantage</v>
      </c>
      <c r="B758" s="1" t="s">
        <v>543</v>
      </c>
      <c r="C758" s="1" t="s">
        <v>546</v>
      </c>
      <c r="D758" s="1" t="str">
        <f>IFERROR(VLOOKUP(A758,'MLR Data'!$A$2:$D$706,4,0),"")</f>
        <v/>
      </c>
      <c r="E758" s="3" t="s">
        <v>853</v>
      </c>
    </row>
    <row r="759" spans="1:5" x14ac:dyDescent="0.3">
      <c r="A759" t="str">
        <f t="shared" si="11"/>
        <v>IN CIGNA Medicare Access</v>
      </c>
      <c r="B759" s="1" t="s">
        <v>549</v>
      </c>
      <c r="C759" s="1" t="s">
        <v>429</v>
      </c>
      <c r="D759" s="1" t="str">
        <f>IFERROR(VLOOKUP(A759,'MLR Data'!$A$2:$D$706,4,0),"")</f>
        <v/>
      </c>
      <c r="E759" s="3" t="s">
        <v>853</v>
      </c>
    </row>
    <row r="760" spans="1:5" x14ac:dyDescent="0.3">
      <c r="A760" t="str">
        <f t="shared" si="11"/>
        <v>IN Welborn HMO Senior Advantage</v>
      </c>
      <c r="B760" s="1" t="s">
        <v>549</v>
      </c>
      <c r="C760" s="1" t="s">
        <v>554</v>
      </c>
      <c r="D760" s="1" t="str">
        <f>IFERROR(VLOOKUP(A760,'MLR Data'!$A$2:$D$706,4,0),"")</f>
        <v/>
      </c>
      <c r="E760" s="3" t="s">
        <v>853</v>
      </c>
    </row>
    <row r="761" spans="1:5" x14ac:dyDescent="0.3">
      <c r="A761" t="str">
        <f t="shared" si="11"/>
        <v>KS Erickson Advantage</v>
      </c>
      <c r="B761" s="1" t="s">
        <v>555</v>
      </c>
      <c r="C761" s="1" t="s">
        <v>546</v>
      </c>
      <c r="D761" s="1" t="str">
        <f>IFERROR(VLOOKUP(A761,'MLR Data'!$A$2:$D$706,4,0),"")</f>
        <v/>
      </c>
      <c r="E761" s="3" t="s">
        <v>853</v>
      </c>
    </row>
    <row r="762" spans="1:5" x14ac:dyDescent="0.3">
      <c r="A762" t="str">
        <f t="shared" si="11"/>
        <v>LA Advantra® Freedom</v>
      </c>
      <c r="B762" s="1" t="s">
        <v>561</v>
      </c>
      <c r="C762" s="1" t="s">
        <v>387</v>
      </c>
      <c r="D762" s="1" t="str">
        <f>IFERROR(VLOOKUP(A762,'MLR Data'!$A$2:$D$706,4,0),"")</f>
        <v/>
      </c>
      <c r="E762" s="5" t="s">
        <v>4</v>
      </c>
    </row>
    <row r="763" spans="1:5" x14ac:dyDescent="0.3">
      <c r="A763" t="str">
        <f t="shared" si="11"/>
        <v>MA United HealthCare Insurance Company</v>
      </c>
      <c r="B763" s="1" t="s">
        <v>569</v>
      </c>
      <c r="C763" s="1" t="s">
        <v>575</v>
      </c>
      <c r="D763" s="1" t="str">
        <f>IFERROR(VLOOKUP(A763,'MLR Data'!$A$2:$D$706,4,0),"")</f>
        <v/>
      </c>
      <c r="E763" s="5" t="s">
        <v>20</v>
      </c>
    </row>
    <row r="764" spans="1:5" x14ac:dyDescent="0.3">
      <c r="A764" t="str">
        <f t="shared" si="11"/>
        <v>MA Unicare Life &amp; Health Ins. Company</v>
      </c>
      <c r="B764" s="1" t="s">
        <v>569</v>
      </c>
      <c r="C764" s="1" t="s">
        <v>415</v>
      </c>
      <c r="D764" s="1" t="str">
        <f>IFERROR(VLOOKUP(A764,'MLR Data'!$A$2:$D$706,4,0),"")</f>
        <v/>
      </c>
      <c r="E764" s="5" t="s">
        <v>16</v>
      </c>
    </row>
    <row r="765" spans="1:5" x14ac:dyDescent="0.3">
      <c r="A765" t="str">
        <f t="shared" si="11"/>
        <v>MA Elder Service Plan of Harbor Health Services, Inc</v>
      </c>
      <c r="B765" s="1" t="s">
        <v>569</v>
      </c>
      <c r="C765" s="1" t="s">
        <v>581</v>
      </c>
      <c r="D765" s="1" t="str">
        <f>IFERROR(VLOOKUP(A765,'MLR Data'!$A$2:$D$706,4,0),"")</f>
        <v/>
      </c>
      <c r="E765" s="3" t="s">
        <v>853</v>
      </c>
    </row>
    <row r="766" spans="1:5" x14ac:dyDescent="0.3">
      <c r="A766" t="str">
        <f t="shared" si="11"/>
        <v>MD United HealthCare Insurance Company</v>
      </c>
      <c r="B766" s="1" t="s">
        <v>586</v>
      </c>
      <c r="C766" s="1" t="s">
        <v>575</v>
      </c>
      <c r="D766" s="1" t="str">
        <f>IFERROR(VLOOKUP(A766,'MLR Data'!$A$2:$D$706,4,0),"")</f>
        <v/>
      </c>
      <c r="E766" s="5" t="s">
        <v>20</v>
      </c>
    </row>
    <row r="767" spans="1:5" x14ac:dyDescent="0.3">
      <c r="A767" t="str">
        <f t="shared" si="11"/>
        <v>MD Universal American</v>
      </c>
      <c r="B767" s="1" t="s">
        <v>586</v>
      </c>
      <c r="C767" s="1" t="s">
        <v>384</v>
      </c>
      <c r="D767" s="1" t="str">
        <f>IFERROR(VLOOKUP(A767,'MLR Data'!$A$2:$D$706,4,0),"")</f>
        <v/>
      </c>
      <c r="E767" s="3" t="s">
        <v>853</v>
      </c>
    </row>
    <row r="768" spans="1:5" x14ac:dyDescent="0.3">
      <c r="A768" t="str">
        <f t="shared" si="11"/>
        <v>MI Aetna Medicare</v>
      </c>
      <c r="B768" s="1" t="s">
        <v>592</v>
      </c>
      <c r="C768" s="1" t="s">
        <v>407</v>
      </c>
      <c r="D768" s="1" t="str">
        <f>IFERROR(VLOOKUP(A768,'MLR Data'!$A$2:$D$706,4,0),"")</f>
        <v/>
      </c>
      <c r="E768" s="5" t="s">
        <v>4</v>
      </c>
    </row>
    <row r="769" spans="1:5" x14ac:dyDescent="0.3">
      <c r="A769" t="str">
        <f t="shared" si="11"/>
        <v>MI Today's Option</v>
      </c>
      <c r="B769" s="1" t="s">
        <v>592</v>
      </c>
      <c r="C769" s="1" t="s">
        <v>416</v>
      </c>
      <c r="D769" s="1" t="str">
        <f>IFERROR(VLOOKUP(A769,'MLR Data'!$A$2:$D$706,4,0),"")</f>
        <v/>
      </c>
      <c r="E769" s="5" t="s">
        <v>4</v>
      </c>
    </row>
    <row r="770" spans="1:5" x14ac:dyDescent="0.3">
      <c r="A770" t="str">
        <f t="shared" ref="A770:A833" si="12">B770&amp;" "&amp;C770</f>
        <v>MI Paramount Elite</v>
      </c>
      <c r="B770" s="1" t="s">
        <v>592</v>
      </c>
      <c r="C770" s="1" t="s">
        <v>603</v>
      </c>
      <c r="D770" s="1" t="str">
        <f>IFERROR(VLOOKUP(A770,'MLR Data'!$A$2:$D$706,4,0),"")</f>
        <v/>
      </c>
      <c r="E770" s="5" t="s">
        <v>170</v>
      </c>
    </row>
    <row r="771" spans="1:5" x14ac:dyDescent="0.3">
      <c r="A771" t="str">
        <f t="shared" si="12"/>
        <v>MI United HealthCare Insurance Company</v>
      </c>
      <c r="B771" s="1" t="s">
        <v>592</v>
      </c>
      <c r="C771" s="1" t="s">
        <v>575</v>
      </c>
      <c r="D771" s="1" t="str">
        <f>IFERROR(VLOOKUP(A771,'MLR Data'!$A$2:$D$706,4,0),"")</f>
        <v/>
      </c>
      <c r="E771" s="5" t="s">
        <v>20</v>
      </c>
    </row>
    <row r="772" spans="1:5" x14ac:dyDescent="0.3">
      <c r="A772" t="str">
        <f t="shared" si="12"/>
        <v>MN Universal American</v>
      </c>
      <c r="B772" s="1" t="s">
        <v>608</v>
      </c>
      <c r="C772" s="1" t="s">
        <v>384</v>
      </c>
      <c r="D772" s="1" t="str">
        <f>IFERROR(VLOOKUP(A772,'MLR Data'!$A$2:$D$706,4,0),"")</f>
        <v/>
      </c>
      <c r="E772" s="3" t="s">
        <v>853</v>
      </c>
    </row>
    <row r="773" spans="1:5" x14ac:dyDescent="0.3">
      <c r="A773" t="str">
        <f t="shared" si="12"/>
        <v>MO Mercy Health Plans, Inc.</v>
      </c>
      <c r="B773" s="1" t="s">
        <v>621</v>
      </c>
      <c r="C773" s="1" t="s">
        <v>624</v>
      </c>
      <c r="D773" s="1" t="str">
        <f>IFERROR(VLOOKUP(A773,'MLR Data'!$A$2:$D$706,4,0),"")</f>
        <v/>
      </c>
      <c r="E773" s="3" t="s">
        <v>853</v>
      </c>
    </row>
    <row r="774" spans="1:5" x14ac:dyDescent="0.3">
      <c r="A774" t="str">
        <f t="shared" si="12"/>
        <v>MO Alexian Brothers Community Services</v>
      </c>
      <c r="B774" s="1" t="s">
        <v>621</v>
      </c>
      <c r="C774" s="1" t="s">
        <v>625</v>
      </c>
      <c r="D774" s="1" t="str">
        <f>IFERROR(VLOOKUP(A774,'MLR Data'!$A$2:$D$706,4,0),"")</f>
        <v/>
      </c>
      <c r="E774" s="3" t="s">
        <v>853</v>
      </c>
    </row>
    <row r="775" spans="1:5" x14ac:dyDescent="0.3">
      <c r="A775" t="str">
        <f t="shared" si="12"/>
        <v>MS UNIVERSAL HEALTH CARE INSURANCE COMPANY, INC.</v>
      </c>
      <c r="B775" s="1" t="s">
        <v>626</v>
      </c>
      <c r="C775" s="1" t="s">
        <v>394</v>
      </c>
      <c r="D775" s="1" t="str">
        <f>IFERROR(VLOOKUP(A775,'MLR Data'!$A$2:$D$706,4,0),"")</f>
        <v/>
      </c>
      <c r="E775" s="3" t="s">
        <v>853</v>
      </c>
    </row>
    <row r="776" spans="1:5" x14ac:dyDescent="0.3">
      <c r="A776" t="str">
        <f t="shared" si="12"/>
        <v>NC WellCare</v>
      </c>
      <c r="B776" s="1" t="s">
        <v>629</v>
      </c>
      <c r="C776" s="1" t="s">
        <v>381</v>
      </c>
      <c r="D776" s="1" t="str">
        <f>IFERROR(VLOOKUP(A776,'MLR Data'!$A$2:$D$706,4,0),"")</f>
        <v/>
      </c>
      <c r="E776" s="3" t="s">
        <v>853</v>
      </c>
    </row>
    <row r="777" spans="1:5" x14ac:dyDescent="0.3">
      <c r="A777" t="str">
        <f t="shared" si="12"/>
        <v>ND SecureHorizons by UnitedHealthcare</v>
      </c>
      <c r="B777" s="1" t="s">
        <v>637</v>
      </c>
      <c r="C777" s="1" t="s">
        <v>368</v>
      </c>
      <c r="D777" s="1" t="str">
        <f>IFERROR(VLOOKUP(A777,'MLR Data'!$A$2:$D$706,4,0),"")</f>
        <v/>
      </c>
      <c r="E777" s="5" t="s">
        <v>20</v>
      </c>
    </row>
    <row r="778" spans="1:5" x14ac:dyDescent="0.3">
      <c r="A778" t="str">
        <f t="shared" si="12"/>
        <v>ND Medica Insurance Company</v>
      </c>
      <c r="B778" s="1" t="s">
        <v>637</v>
      </c>
      <c r="C778" s="1" t="s">
        <v>184</v>
      </c>
      <c r="D778" s="1" t="str">
        <f>IFERROR(VLOOKUP(A778,'MLR Data'!$A$2:$D$706,4,0),"")</f>
        <v>Medica Insurance Company</v>
      </c>
      <c r="E778" s="3" t="s">
        <v>184</v>
      </c>
    </row>
    <row r="779" spans="1:5" x14ac:dyDescent="0.3">
      <c r="A779" t="str">
        <f t="shared" si="12"/>
        <v>ND Medica Health Plans</v>
      </c>
      <c r="B779" s="1" t="s">
        <v>637</v>
      </c>
      <c r="C779" s="1" t="s">
        <v>182</v>
      </c>
      <c r="D779" s="1" t="str">
        <f>IFERROR(VLOOKUP(A779,'MLR Data'!$A$2:$D$706,4,0),"")</f>
        <v>Medica Health Plans</v>
      </c>
      <c r="E779" s="3" t="s">
        <v>182</v>
      </c>
    </row>
    <row r="780" spans="1:5" x14ac:dyDescent="0.3">
      <c r="A780" t="str">
        <f t="shared" si="12"/>
        <v>NE Humana Health Plan, Inc.</v>
      </c>
      <c r="B780" s="1" t="s">
        <v>638</v>
      </c>
      <c r="C780" s="1" t="s">
        <v>13</v>
      </c>
      <c r="D780" s="1" t="str">
        <f>IFERROR(VLOOKUP(A780,'MLR Data'!$A$2:$D$706,4,0),"")</f>
        <v>Humana Health Plan, Inc.</v>
      </c>
      <c r="E780" s="3" t="s">
        <v>13</v>
      </c>
    </row>
    <row r="781" spans="1:5" x14ac:dyDescent="0.3">
      <c r="A781" t="str">
        <f t="shared" si="12"/>
        <v>NE SecureHorizons MedicareDirect</v>
      </c>
      <c r="B781" s="1" t="s">
        <v>638</v>
      </c>
      <c r="C781" s="1" t="s">
        <v>390</v>
      </c>
      <c r="D781" s="1" t="str">
        <f>IFERROR(VLOOKUP(A781,'MLR Data'!$A$2:$D$706,4,0),"")</f>
        <v/>
      </c>
      <c r="E781" s="5" t="s">
        <v>20</v>
      </c>
    </row>
    <row r="782" spans="1:5" x14ac:dyDescent="0.3">
      <c r="A782" t="str">
        <f t="shared" si="12"/>
        <v>NH SecureHorizons MedicareDirect</v>
      </c>
      <c r="B782" s="1" t="s">
        <v>640</v>
      </c>
      <c r="C782" s="1" t="s">
        <v>390</v>
      </c>
      <c r="D782" s="1" t="str">
        <f>IFERROR(VLOOKUP(A782,'MLR Data'!$A$2:$D$706,4,0),"")</f>
        <v/>
      </c>
      <c r="E782" s="5" t="s">
        <v>20</v>
      </c>
    </row>
    <row r="783" spans="1:5" x14ac:dyDescent="0.3">
      <c r="A783" t="str">
        <f t="shared" si="12"/>
        <v>NJ Evercare® Health Plans</v>
      </c>
      <c r="B783" s="1" t="s">
        <v>641</v>
      </c>
      <c r="C783" s="1" t="s">
        <v>408</v>
      </c>
      <c r="D783" s="1" t="str">
        <f>IFERROR(VLOOKUP(A783,'MLR Data'!$A$2:$D$706,4,0),"")</f>
        <v/>
      </c>
      <c r="E783" s="5" t="s">
        <v>20</v>
      </c>
    </row>
    <row r="784" spans="1:5" x14ac:dyDescent="0.3">
      <c r="A784" t="str">
        <f t="shared" si="12"/>
        <v>NJ United HealthCare Insuance Company</v>
      </c>
      <c r="B784" s="1" t="s">
        <v>641</v>
      </c>
      <c r="C784" s="1" t="s">
        <v>648</v>
      </c>
      <c r="D784" s="1" t="str">
        <f>IFERROR(VLOOKUP(A784,'MLR Data'!$A$2:$D$706,4,0),"")</f>
        <v/>
      </c>
      <c r="E784" s="5" t="s">
        <v>20</v>
      </c>
    </row>
    <row r="785" spans="1:5" x14ac:dyDescent="0.3">
      <c r="A785" t="str">
        <f t="shared" si="12"/>
        <v>NM Lovelace Senior Plan</v>
      </c>
      <c r="B785" s="1" t="s">
        <v>649</v>
      </c>
      <c r="C785" s="1" t="s">
        <v>659</v>
      </c>
      <c r="D785" s="1" t="str">
        <f>IFERROR(VLOOKUP(A785,'MLR Data'!$A$2:$D$706,4,0),"")</f>
        <v/>
      </c>
      <c r="E785" s="5" t="s">
        <v>211</v>
      </c>
    </row>
    <row r="786" spans="1:5" x14ac:dyDescent="0.3">
      <c r="A786" t="str">
        <f t="shared" si="12"/>
        <v>NV SecureHorizons by UnitedHealthcare</v>
      </c>
      <c r="B786" s="1" t="s">
        <v>660</v>
      </c>
      <c r="C786" s="1" t="s">
        <v>368</v>
      </c>
      <c r="D786" s="1" t="str">
        <f>IFERROR(VLOOKUP(A786,'MLR Data'!$A$2:$D$706,4,0),"")</f>
        <v/>
      </c>
      <c r="E786" s="5" t="s">
        <v>20</v>
      </c>
    </row>
    <row r="787" spans="1:5" x14ac:dyDescent="0.3">
      <c r="A787" t="str">
        <f t="shared" si="12"/>
        <v>NY GuildNet</v>
      </c>
      <c r="B787" s="1" t="s">
        <v>665</v>
      </c>
      <c r="C787" s="1" t="s">
        <v>689</v>
      </c>
      <c r="D787" s="1" t="str">
        <f>IFERROR(VLOOKUP(A787,'MLR Data'!$A$2:$D$706,4,0),"")</f>
        <v/>
      </c>
      <c r="E787" s="3" t="s">
        <v>853</v>
      </c>
    </row>
    <row r="788" spans="1:5" x14ac:dyDescent="0.3">
      <c r="A788" t="str">
        <f t="shared" si="12"/>
        <v>NY Access Medicare</v>
      </c>
      <c r="B788" s="1" t="s">
        <v>665</v>
      </c>
      <c r="C788" s="1" t="s">
        <v>690</v>
      </c>
      <c r="D788" s="1" t="str">
        <f>IFERROR(VLOOKUP(A788,'MLR Data'!$A$2:$D$706,4,0),"")</f>
        <v/>
      </c>
      <c r="E788" s="3" t="s">
        <v>853</v>
      </c>
    </row>
    <row r="789" spans="1:5" x14ac:dyDescent="0.3">
      <c r="A789" t="str">
        <f t="shared" si="12"/>
        <v>OH Carelink Advantra PPO</v>
      </c>
      <c r="B789" s="1" t="s">
        <v>710</v>
      </c>
      <c r="C789" s="1" t="s">
        <v>721</v>
      </c>
      <c r="D789" s="1" t="str">
        <f>IFERROR(VLOOKUP(A789,'MLR Data'!$A$2:$D$706,4,0),"")</f>
        <v/>
      </c>
      <c r="E789" s="5" t="s">
        <v>26</v>
      </c>
    </row>
    <row r="790" spans="1:5" x14ac:dyDescent="0.3">
      <c r="A790" t="str">
        <f t="shared" si="12"/>
        <v>OK Arkansas Community Care, Inc.</v>
      </c>
      <c r="B790" s="1" t="s">
        <v>722</v>
      </c>
      <c r="C790" s="1" t="s">
        <v>379</v>
      </c>
      <c r="D790" s="1" t="str">
        <f>IFERROR(VLOOKUP(A790,'MLR Data'!$A$2:$D$706,4,0),"")</f>
        <v/>
      </c>
      <c r="E790" s="3" t="s">
        <v>853</v>
      </c>
    </row>
    <row r="791" spans="1:5" x14ac:dyDescent="0.3">
      <c r="A791" t="str">
        <f t="shared" si="12"/>
        <v>OK HISC - Blue Cross And Blue Shield Of Oklahoma</v>
      </c>
      <c r="B791" s="1" t="s">
        <v>722</v>
      </c>
      <c r="C791" s="1" t="s">
        <v>726</v>
      </c>
      <c r="D791" s="1" t="str">
        <f>IFERROR(VLOOKUP(A791,'MLR Data'!$A$2:$D$706,4,0),"")</f>
        <v/>
      </c>
      <c r="E791" s="3" t="s">
        <v>853</v>
      </c>
    </row>
    <row r="792" spans="1:5" x14ac:dyDescent="0.3">
      <c r="A792" t="str">
        <f t="shared" si="12"/>
        <v>OR Today's Option</v>
      </c>
      <c r="B792" s="1" t="s">
        <v>728</v>
      </c>
      <c r="C792" s="1" t="s">
        <v>416</v>
      </c>
      <c r="D792" s="1" t="str">
        <f>IFERROR(VLOOKUP(A792,'MLR Data'!$A$2:$D$706,4,0),"")</f>
        <v/>
      </c>
      <c r="E792" s="5" t="s">
        <v>15</v>
      </c>
    </row>
    <row r="793" spans="1:5" x14ac:dyDescent="0.3">
      <c r="A793" t="str">
        <f t="shared" si="12"/>
        <v>OR Trillium Advantage</v>
      </c>
      <c r="B793" s="1" t="s">
        <v>728</v>
      </c>
      <c r="C793" s="1" t="s">
        <v>741</v>
      </c>
      <c r="D793" s="1" t="str">
        <f>IFERROR(VLOOKUP(A793,'MLR Data'!$A$2:$D$706,4,0),"")</f>
        <v/>
      </c>
      <c r="E793" s="3" t="s">
        <v>853</v>
      </c>
    </row>
    <row r="794" spans="1:5" x14ac:dyDescent="0.3">
      <c r="A794" t="str">
        <f t="shared" si="12"/>
        <v>OR Providence ElderPlace Portland</v>
      </c>
      <c r="B794" s="1" t="s">
        <v>728</v>
      </c>
      <c r="C794" s="1" t="s">
        <v>743</v>
      </c>
      <c r="D794" s="1" t="str">
        <f>IFERROR(VLOOKUP(A794,'MLR Data'!$A$2:$D$706,4,0),"")</f>
        <v/>
      </c>
      <c r="E794" s="5" t="s">
        <v>263</v>
      </c>
    </row>
    <row r="795" spans="1:5" x14ac:dyDescent="0.3">
      <c r="A795" t="str">
        <f t="shared" si="12"/>
        <v>PA Personal Choice 65 PPO</v>
      </c>
      <c r="B795" s="1" t="s">
        <v>744</v>
      </c>
      <c r="C795" s="1" t="s">
        <v>757</v>
      </c>
      <c r="D795" s="1" t="str">
        <f>IFERROR(VLOOKUP(A795,'MLR Data'!$A$2:$D$706,4,0),"")</f>
        <v/>
      </c>
      <c r="E795" s="3" t="s">
        <v>853</v>
      </c>
    </row>
    <row r="796" spans="1:5" x14ac:dyDescent="0.3">
      <c r="A796" t="str">
        <f t="shared" si="12"/>
        <v>PA United HealthCare Insurance Company</v>
      </c>
      <c r="B796" s="1" t="s">
        <v>744</v>
      </c>
      <c r="C796" s="1" t="s">
        <v>575</v>
      </c>
      <c r="D796" s="1" t="str">
        <f>IFERROR(VLOOKUP(A796,'MLR Data'!$A$2:$D$706,4,0),"")</f>
        <v/>
      </c>
      <c r="E796" s="3" t="s">
        <v>853</v>
      </c>
    </row>
    <row r="797" spans="1:5" x14ac:dyDescent="0.3">
      <c r="A797" t="str">
        <f t="shared" si="12"/>
        <v>PA Geisinger Health Plan Gold Preferred</v>
      </c>
      <c r="B797" s="1" t="s">
        <v>744</v>
      </c>
      <c r="C797" s="1" t="s">
        <v>765</v>
      </c>
      <c r="D797" s="1" t="str">
        <f>IFERROR(VLOOKUP(A797,'MLR Data'!$A$2:$D$706,4,0),"")</f>
        <v/>
      </c>
      <c r="E797" s="5" t="s">
        <v>270</v>
      </c>
    </row>
    <row r="798" spans="1:5" x14ac:dyDescent="0.3">
      <c r="A798" t="str">
        <f t="shared" si="12"/>
        <v>PA Senior LIFE Washington / Uniontown / Green</v>
      </c>
      <c r="B798" s="1" t="s">
        <v>744</v>
      </c>
      <c r="C798" s="1" t="s">
        <v>767</v>
      </c>
      <c r="D798" s="1" t="str">
        <f>IFERROR(VLOOKUP(A798,'MLR Data'!$A$2:$D$706,4,0),"")</f>
        <v/>
      </c>
      <c r="E798" s="3" t="s">
        <v>853</v>
      </c>
    </row>
    <row r="799" spans="1:5" x14ac:dyDescent="0.3">
      <c r="A799" t="str">
        <f t="shared" si="12"/>
        <v>PA SecureHorizons</v>
      </c>
      <c r="B799" s="1" t="s">
        <v>744</v>
      </c>
      <c r="C799" s="1" t="s">
        <v>374</v>
      </c>
      <c r="D799" s="1" t="str">
        <f>IFERROR(VLOOKUP(A799,'MLR Data'!$A$2:$D$706,4,0),"")</f>
        <v/>
      </c>
      <c r="E799" s="5" t="s">
        <v>20</v>
      </c>
    </row>
    <row r="800" spans="1:5" x14ac:dyDescent="0.3">
      <c r="A800" t="str">
        <f t="shared" si="12"/>
        <v>RI Evercare® Health Plans</v>
      </c>
      <c r="B800" s="1" t="s">
        <v>772</v>
      </c>
      <c r="C800" s="1" t="s">
        <v>408</v>
      </c>
      <c r="D800" s="1" t="str">
        <f>IFERROR(VLOOKUP(A800,'MLR Data'!$A$2:$D$706,4,0),"")</f>
        <v/>
      </c>
      <c r="E800" s="5" t="s">
        <v>20</v>
      </c>
    </row>
    <row r="801" spans="1:5" x14ac:dyDescent="0.3">
      <c r="A801" t="str">
        <f t="shared" si="12"/>
        <v>SC InStil Health Insurance Company</v>
      </c>
      <c r="B801" s="1" t="s">
        <v>775</v>
      </c>
      <c r="C801" s="1" t="s">
        <v>779</v>
      </c>
      <c r="D801" s="1" t="str">
        <f>IFERROR(VLOOKUP(A801,'MLR Data'!$A$2:$D$706,4,0),"")</f>
        <v/>
      </c>
      <c r="E801" s="3" t="s">
        <v>853</v>
      </c>
    </row>
    <row r="802" spans="1:5" x14ac:dyDescent="0.3">
      <c r="A802" t="str">
        <f t="shared" si="12"/>
        <v>SC Palmetto SeniorCare</v>
      </c>
      <c r="B802" s="1" t="s">
        <v>775</v>
      </c>
      <c r="C802" s="1" t="s">
        <v>781</v>
      </c>
      <c r="D802" s="1" t="str">
        <f>IFERROR(VLOOKUP(A802,'MLR Data'!$A$2:$D$706,4,0),"")</f>
        <v/>
      </c>
      <c r="E802" s="3" t="s">
        <v>853</v>
      </c>
    </row>
    <row r="803" spans="1:5" x14ac:dyDescent="0.3">
      <c r="A803" t="str">
        <f t="shared" si="12"/>
        <v>SD Advantra® Freedom</v>
      </c>
      <c r="B803" s="1" t="s">
        <v>783</v>
      </c>
      <c r="C803" s="1" t="s">
        <v>387</v>
      </c>
      <c r="D803" s="1" t="str">
        <f>IFERROR(VLOOKUP(A803,'MLR Data'!$A$2:$D$706,4,0),"")</f>
        <v/>
      </c>
      <c r="E803" s="5" t="s">
        <v>4</v>
      </c>
    </row>
    <row r="804" spans="1:5" x14ac:dyDescent="0.3">
      <c r="A804" t="str">
        <f t="shared" si="12"/>
        <v>SD SecureHorizons MedicareDirect</v>
      </c>
      <c r="B804" s="1" t="s">
        <v>783</v>
      </c>
      <c r="C804" s="1" t="s">
        <v>390</v>
      </c>
      <c r="D804" s="1" t="str">
        <f>IFERROR(VLOOKUP(A804,'MLR Data'!$A$2:$D$706,4,0),"")</f>
        <v/>
      </c>
      <c r="E804" s="5" t="s">
        <v>20</v>
      </c>
    </row>
    <row r="805" spans="1:5" x14ac:dyDescent="0.3">
      <c r="A805" t="str">
        <f t="shared" si="12"/>
        <v>TN Cariten Senior Health</v>
      </c>
      <c r="B805" s="1" t="s">
        <v>784</v>
      </c>
      <c r="C805" s="1" t="s">
        <v>789</v>
      </c>
      <c r="D805" s="1" t="str">
        <f>IFERROR(VLOOKUP(A805,'MLR Data'!$A$2:$D$706,4,0),"")</f>
        <v/>
      </c>
      <c r="E805" s="3" t="s">
        <v>853</v>
      </c>
    </row>
    <row r="806" spans="1:5" x14ac:dyDescent="0.3">
      <c r="A806" t="str">
        <f t="shared" si="12"/>
        <v>TN Advantra® Freedom</v>
      </c>
      <c r="B806" s="1" t="s">
        <v>784</v>
      </c>
      <c r="C806" s="1" t="s">
        <v>387</v>
      </c>
      <c r="D806" s="1" t="str">
        <f>IFERROR(VLOOKUP(A806,'MLR Data'!$A$2:$D$706,4,0),"")</f>
        <v/>
      </c>
      <c r="E806" s="5" t="s">
        <v>26</v>
      </c>
    </row>
    <row r="807" spans="1:5" x14ac:dyDescent="0.3">
      <c r="A807" t="str">
        <f t="shared" si="12"/>
        <v>TN AARP MedicareComplete from SecureHorizons</v>
      </c>
      <c r="B807" s="1" t="s">
        <v>784</v>
      </c>
      <c r="C807" s="1" t="s">
        <v>473</v>
      </c>
      <c r="D807" s="1" t="str">
        <f>IFERROR(VLOOKUP(A807,'MLR Data'!$A$2:$D$706,4,0),"")</f>
        <v/>
      </c>
      <c r="E807" s="5" t="s">
        <v>20</v>
      </c>
    </row>
    <row r="808" spans="1:5" x14ac:dyDescent="0.3">
      <c r="A808" t="str">
        <f t="shared" si="12"/>
        <v>TN Unison Advantage</v>
      </c>
      <c r="B808" s="1" t="s">
        <v>784</v>
      </c>
      <c r="C808" s="1" t="s">
        <v>746</v>
      </c>
      <c r="D808" s="1" t="str">
        <f>IFERROR(VLOOKUP(A808,'MLR Data'!$A$2:$D$706,4,0),"")</f>
        <v/>
      </c>
      <c r="E808" s="3" t="s">
        <v>853</v>
      </c>
    </row>
    <row r="809" spans="1:5" x14ac:dyDescent="0.3">
      <c r="A809" t="str">
        <f t="shared" si="12"/>
        <v>TX Arkansas Community Care, Inc.</v>
      </c>
      <c r="B809" s="1" t="s">
        <v>791</v>
      </c>
      <c r="C809" s="1" t="s">
        <v>379</v>
      </c>
      <c r="D809" s="1" t="str">
        <f>IFERROR(VLOOKUP(A809,'MLR Data'!$A$2:$D$706,4,0),"")</f>
        <v/>
      </c>
      <c r="E809" s="3" t="s">
        <v>853</v>
      </c>
    </row>
    <row r="810" spans="1:5" x14ac:dyDescent="0.3">
      <c r="A810" t="str">
        <f t="shared" si="12"/>
        <v>TX Today's Option</v>
      </c>
      <c r="B810" s="1" t="s">
        <v>791</v>
      </c>
      <c r="C810" s="1" t="s">
        <v>416</v>
      </c>
      <c r="D810" s="1" t="str">
        <f>IFERROR(VLOOKUP(A810,'MLR Data'!$A$2:$D$706,4,0),"")</f>
        <v/>
      </c>
      <c r="E810" s="5" t="s">
        <v>310</v>
      </c>
    </row>
    <row r="811" spans="1:5" x14ac:dyDescent="0.3">
      <c r="A811" t="str">
        <f t="shared" si="12"/>
        <v>TX Health Net Pearl</v>
      </c>
      <c r="B811" s="1" t="s">
        <v>791</v>
      </c>
      <c r="C811" s="1" t="s">
        <v>451</v>
      </c>
      <c r="D811" s="1" t="str">
        <f>IFERROR(VLOOKUP(A811,'MLR Data'!$A$2:$D$706,4,0),"")</f>
        <v/>
      </c>
      <c r="E811" s="3" t="s">
        <v>853</v>
      </c>
    </row>
    <row r="812" spans="1:5" x14ac:dyDescent="0.3">
      <c r="A812" t="str">
        <f t="shared" si="12"/>
        <v>TX Care Improvement Plus</v>
      </c>
      <c r="B812" s="1" t="s">
        <v>791</v>
      </c>
      <c r="C812" s="1" t="s">
        <v>385</v>
      </c>
      <c r="D812" s="1" t="str">
        <f>IFERROR(VLOOKUP(A812,'MLR Data'!$A$2:$D$706,4,0),"")</f>
        <v/>
      </c>
      <c r="E812" s="3" t="s">
        <v>853</v>
      </c>
    </row>
    <row r="813" spans="1:5" x14ac:dyDescent="0.3">
      <c r="A813" t="str">
        <f t="shared" si="12"/>
        <v>TX HISC - Blue Cross Blue Shield of Texas</v>
      </c>
      <c r="B813" s="1" t="s">
        <v>791</v>
      </c>
      <c r="C813" s="1" t="s">
        <v>808</v>
      </c>
      <c r="D813" s="1" t="str">
        <f>IFERROR(VLOOKUP(A813,'MLR Data'!$A$2:$D$706,4,0),"")</f>
        <v/>
      </c>
      <c r="E813" s="3" t="s">
        <v>853</v>
      </c>
    </row>
    <row r="814" spans="1:5" x14ac:dyDescent="0.3">
      <c r="A814" t="str">
        <f t="shared" si="12"/>
        <v>TX Erickson Advantage</v>
      </c>
      <c r="B814" s="1" t="s">
        <v>791</v>
      </c>
      <c r="C814" s="1" t="s">
        <v>546</v>
      </c>
      <c r="D814" s="1" t="str">
        <f>IFERROR(VLOOKUP(A814,'MLR Data'!$A$2:$D$706,4,0),"")</f>
        <v/>
      </c>
      <c r="E814" s="3" t="s">
        <v>853</v>
      </c>
    </row>
    <row r="815" spans="1:5" x14ac:dyDescent="0.3">
      <c r="A815" t="str">
        <f t="shared" si="12"/>
        <v>TX CIGNA Medicare Access</v>
      </c>
      <c r="B815" s="1" t="s">
        <v>791</v>
      </c>
      <c r="C815" s="1" t="s">
        <v>429</v>
      </c>
      <c r="D815" s="1" t="str">
        <f>IFERROR(VLOOKUP(A815,'MLR Data'!$A$2:$D$706,4,0),"")</f>
        <v/>
      </c>
      <c r="E815" s="5" t="s">
        <v>9</v>
      </c>
    </row>
    <row r="816" spans="1:5" x14ac:dyDescent="0.3">
      <c r="A816" t="str">
        <f t="shared" si="12"/>
        <v>UT Educators Mutual Insurance Association</v>
      </c>
      <c r="B816" s="1" t="s">
        <v>813</v>
      </c>
      <c r="C816" s="1" t="s">
        <v>319</v>
      </c>
      <c r="D816" s="1" t="str">
        <f>IFERROR(VLOOKUP(A816,'MLR Data'!$A$2:$D$706,4,0),"")</f>
        <v>Educators Mutual Insurance Association</v>
      </c>
      <c r="E816" s="3" t="s">
        <v>319</v>
      </c>
    </row>
    <row r="817" spans="1:5" x14ac:dyDescent="0.3">
      <c r="A817" t="str">
        <f t="shared" si="12"/>
        <v>UT Advantra® Freedom</v>
      </c>
      <c r="B817" s="1" t="s">
        <v>813</v>
      </c>
      <c r="C817" s="1" t="s">
        <v>387</v>
      </c>
      <c r="D817" s="1" t="str">
        <f>IFERROR(VLOOKUP(A817,'MLR Data'!$A$2:$D$706,4,0),"")</f>
        <v/>
      </c>
      <c r="E817" s="5" t="s">
        <v>4</v>
      </c>
    </row>
    <row r="818" spans="1:5" x14ac:dyDescent="0.3">
      <c r="A818" t="str">
        <f t="shared" si="12"/>
        <v>UT Humana Medical Plan of Utah, Inc.</v>
      </c>
      <c r="B818" s="1" t="s">
        <v>813</v>
      </c>
      <c r="C818" s="1" t="s">
        <v>818</v>
      </c>
      <c r="D818" s="1" t="str">
        <f>IFERROR(VLOOKUP(A818,'MLR Data'!$A$2:$D$706,4,0),"")</f>
        <v/>
      </c>
      <c r="E818" s="5" t="s">
        <v>15</v>
      </c>
    </row>
    <row r="819" spans="1:5" x14ac:dyDescent="0.3">
      <c r="A819" t="str">
        <f t="shared" si="12"/>
        <v>VA Aetna Medicare</v>
      </c>
      <c r="B819" s="1" t="s">
        <v>819</v>
      </c>
      <c r="C819" s="1" t="s">
        <v>407</v>
      </c>
      <c r="D819" s="1" t="str">
        <f>IFERROR(VLOOKUP(A819,'MLR Data'!$A$2:$D$706,4,0),"")</f>
        <v/>
      </c>
      <c r="E819" s="5" t="s">
        <v>26</v>
      </c>
    </row>
    <row r="820" spans="1:5" x14ac:dyDescent="0.3">
      <c r="A820" t="str">
        <f t="shared" si="12"/>
        <v>WA Regence BlueShield Of Idaho</v>
      </c>
      <c r="B820" s="1" t="s">
        <v>824</v>
      </c>
      <c r="C820" s="1" t="s">
        <v>541</v>
      </c>
      <c r="D820" s="1" t="str">
        <f>IFERROR(VLOOKUP(A820,'MLR Data'!$A$2:$D$706,4,0),"")</f>
        <v/>
      </c>
      <c r="E820" s="5" t="s">
        <v>104</v>
      </c>
    </row>
    <row r="821" spans="1:5" x14ac:dyDescent="0.3">
      <c r="A821" t="str">
        <f t="shared" si="12"/>
        <v>WA Providence Health Plans</v>
      </c>
      <c r="B821" s="1" t="s">
        <v>824</v>
      </c>
      <c r="C821" s="1" t="s">
        <v>733</v>
      </c>
      <c r="D821" s="1" t="str">
        <f>IFERROR(VLOOKUP(A821,'MLR Data'!$A$2:$D$706,4,0),"")</f>
        <v/>
      </c>
      <c r="E821" s="5" t="s">
        <v>263</v>
      </c>
    </row>
    <row r="822" spans="1:5" x14ac:dyDescent="0.3">
      <c r="A822" t="str">
        <f t="shared" si="12"/>
        <v>WA WellCare</v>
      </c>
      <c r="B822" s="1" t="s">
        <v>824</v>
      </c>
      <c r="C822" s="1" t="s">
        <v>381</v>
      </c>
      <c r="D822" s="1" t="str">
        <f>IFERROR(VLOOKUP(A822,'MLR Data'!$A$2:$D$706,4,0),"")</f>
        <v/>
      </c>
      <c r="E822" s="3" t="s">
        <v>853</v>
      </c>
    </row>
    <row r="823" spans="1:5" x14ac:dyDescent="0.3">
      <c r="A823" t="str">
        <f t="shared" si="12"/>
        <v>WA Evercare® Health Plans</v>
      </c>
      <c r="B823" s="1" t="s">
        <v>824</v>
      </c>
      <c r="C823" s="1" t="s">
        <v>408</v>
      </c>
      <c r="D823" s="1" t="str">
        <f>IFERROR(VLOOKUP(A823,'MLR Data'!$A$2:$D$706,4,0),"")</f>
        <v/>
      </c>
      <c r="E823" s="3" t="s">
        <v>853</v>
      </c>
    </row>
    <row r="824" spans="1:5" x14ac:dyDescent="0.3">
      <c r="A824" t="str">
        <f t="shared" si="12"/>
        <v>WA Universal American</v>
      </c>
      <c r="B824" s="1" t="s">
        <v>824</v>
      </c>
      <c r="C824" s="1" t="s">
        <v>384</v>
      </c>
      <c r="D824" s="1" t="str">
        <f>IFERROR(VLOOKUP(A824,'MLR Data'!$A$2:$D$706,4,0),"")</f>
        <v/>
      </c>
      <c r="E824" s="3" t="s">
        <v>853</v>
      </c>
    </row>
    <row r="825" spans="1:5" x14ac:dyDescent="0.3">
      <c r="A825" t="str">
        <f t="shared" si="12"/>
        <v>WA Spokane Community Care</v>
      </c>
      <c r="B825" s="1" t="s">
        <v>824</v>
      </c>
      <c r="C825" s="1" t="s">
        <v>463</v>
      </c>
      <c r="D825" s="1" t="str">
        <f>IFERROR(VLOOKUP(A825,'MLR Data'!$A$2:$D$706,4,0),"")</f>
        <v/>
      </c>
      <c r="E825" s="3" t="s">
        <v>853</v>
      </c>
    </row>
    <row r="826" spans="1:5" x14ac:dyDescent="0.3">
      <c r="A826" t="str">
        <f t="shared" si="12"/>
        <v>WI SecureHorizons</v>
      </c>
      <c r="B826" s="1" t="s">
        <v>830</v>
      </c>
      <c r="C826" s="1" t="s">
        <v>374</v>
      </c>
      <c r="D826" s="1" t="str">
        <f>IFERROR(VLOOKUP(A826,'MLR Data'!$A$2:$D$706,4,0),"")</f>
        <v/>
      </c>
      <c r="E826" s="5" t="s">
        <v>20</v>
      </c>
    </row>
    <row r="827" spans="1:5" x14ac:dyDescent="0.3">
      <c r="A827" t="str">
        <f t="shared" si="12"/>
        <v>WV Advantra PPO</v>
      </c>
      <c r="B827" s="1" t="s">
        <v>839</v>
      </c>
      <c r="C827" s="1" t="s">
        <v>755</v>
      </c>
      <c r="D827" s="1" t="str">
        <f>IFERROR(VLOOKUP(A827,'MLR Data'!$A$2:$D$706,4,0),"")</f>
        <v/>
      </c>
      <c r="E827" s="5" t="s">
        <v>4</v>
      </c>
    </row>
    <row r="828" spans="1:5" x14ac:dyDescent="0.3">
      <c r="A828" t="str">
        <f t="shared" si="12"/>
        <v>AL Cigna-HealthSpring</v>
      </c>
      <c r="B828" s="1" t="s">
        <v>367</v>
      </c>
      <c r="C828" s="1" t="s">
        <v>373</v>
      </c>
      <c r="D828" s="1" t="str">
        <f>IFERROR(VLOOKUP(A828,'MLR Data'!$A$2:$D$706,4,0),"")</f>
        <v/>
      </c>
      <c r="E828" s="5" t="s">
        <v>11</v>
      </c>
    </row>
    <row r="829" spans="1:5" x14ac:dyDescent="0.3">
      <c r="A829" t="str">
        <f t="shared" si="12"/>
        <v>AR Universal American Corp.</v>
      </c>
      <c r="B829" s="1" t="s">
        <v>376</v>
      </c>
      <c r="C829" s="1" t="s">
        <v>383</v>
      </c>
      <c r="D829" s="1" t="str">
        <f>IFERROR(VLOOKUP(A829,'MLR Data'!$A$2:$D$706,4,0),"")</f>
        <v/>
      </c>
    </row>
    <row r="830" spans="1:5" x14ac:dyDescent="0.3">
      <c r="A830" t="str">
        <f t="shared" si="12"/>
        <v>AR Care Improvement Plus</v>
      </c>
      <c r="B830" s="1" t="s">
        <v>376</v>
      </c>
      <c r="C830" s="1" t="s">
        <v>385</v>
      </c>
      <c r="D830" s="1" t="str">
        <f>IFERROR(VLOOKUP(A830,'MLR Data'!$A$2:$D$706,4,0),"")</f>
        <v/>
      </c>
    </row>
    <row r="831" spans="1:5" x14ac:dyDescent="0.3">
      <c r="A831" t="str">
        <f t="shared" si="12"/>
        <v>AR Advantra® Freedom</v>
      </c>
      <c r="B831" s="1" t="s">
        <v>376</v>
      </c>
      <c r="C831" s="1" t="s">
        <v>387</v>
      </c>
      <c r="D831" s="1" t="str">
        <f>IFERROR(VLOOKUP(A831,'MLR Data'!$A$2:$D$706,4,0),"")</f>
        <v/>
      </c>
      <c r="E831" s="5" t="s">
        <v>4</v>
      </c>
    </row>
    <row r="832" spans="1:5" x14ac:dyDescent="0.3">
      <c r="A832" t="str">
        <f t="shared" si="12"/>
        <v>AZ CIGNA HealthCare of Arizona</v>
      </c>
      <c r="B832" s="1" t="s">
        <v>388</v>
      </c>
      <c r="C832" s="1" t="s">
        <v>398</v>
      </c>
      <c r="D832" s="1" t="str">
        <f>IFERROR(VLOOKUP(A832,'MLR Data'!$A$2:$D$706,4,0),"")</f>
        <v/>
      </c>
      <c r="E832" s="5" t="s">
        <v>27</v>
      </c>
    </row>
    <row r="833" spans="1:5" x14ac:dyDescent="0.3">
      <c r="A833" t="str">
        <f t="shared" si="12"/>
        <v>AZ ONECare by Care1st Health Plan Arizona, Inc.</v>
      </c>
      <c r="B833" s="1" t="s">
        <v>388</v>
      </c>
      <c r="C833" s="1" t="s">
        <v>399</v>
      </c>
      <c r="D833" s="1" t="str">
        <f>IFERROR(VLOOKUP(A833,'MLR Data'!$A$2:$D$706,4,0),"")</f>
        <v/>
      </c>
      <c r="E833" s="5" t="s">
        <v>853</v>
      </c>
    </row>
    <row r="834" spans="1:5" x14ac:dyDescent="0.3">
      <c r="A834" t="str">
        <f t="shared" ref="A834:A897" si="13">B834&amp;" "&amp;C834</f>
        <v>AZ Coventry Advantra</v>
      </c>
      <c r="B834" s="1" t="s">
        <v>388</v>
      </c>
      <c r="C834" s="1" t="s">
        <v>404</v>
      </c>
      <c r="D834" s="1" t="str">
        <f>IFERROR(VLOOKUP(A834,'MLR Data'!$A$2:$D$706,4,0),"")</f>
        <v/>
      </c>
      <c r="E834" s="5" t="s">
        <v>26</v>
      </c>
    </row>
    <row r="835" spans="1:5" x14ac:dyDescent="0.3">
      <c r="A835" t="str">
        <f t="shared" si="13"/>
        <v>AZ Banner MediSun</v>
      </c>
      <c r="B835" s="1" t="s">
        <v>388</v>
      </c>
      <c r="C835" s="1" t="s">
        <v>411</v>
      </c>
      <c r="D835" s="1" t="str">
        <f>IFERROR(VLOOKUP(A835,'MLR Data'!$A$2:$D$706,4,0),"")</f>
        <v/>
      </c>
      <c r="E835" s="5" t="s">
        <v>853</v>
      </c>
    </row>
    <row r="836" spans="1:5" x14ac:dyDescent="0.3">
      <c r="A836" t="str">
        <f t="shared" si="13"/>
        <v>AZ CIGNA Medicare Select</v>
      </c>
      <c r="B836" s="1" t="s">
        <v>388</v>
      </c>
      <c r="C836" s="1" t="s">
        <v>413</v>
      </c>
      <c r="D836" s="1" t="str">
        <f>IFERROR(VLOOKUP(A836,'MLR Data'!$A$2:$D$706,4,0),"")</f>
        <v/>
      </c>
      <c r="E836" s="5" t="s">
        <v>27</v>
      </c>
    </row>
    <row r="837" spans="1:5" x14ac:dyDescent="0.3">
      <c r="A837" t="str">
        <f t="shared" si="13"/>
        <v>AZ Sierra Health and Life Insurance Company, Inc.</v>
      </c>
      <c r="B837" s="1" t="s">
        <v>388</v>
      </c>
      <c r="C837" s="1" t="s">
        <v>31</v>
      </c>
      <c r="D837" s="1" t="str">
        <f>IFERROR(VLOOKUP(A837,'MLR Data'!$A$2:$D$706,4,0),"")</f>
        <v>Sierra Health and Life Insurance Company, Inc.</v>
      </c>
      <c r="E837" s="5" t="s">
        <v>31</v>
      </c>
    </row>
    <row r="838" spans="1:5" x14ac:dyDescent="0.3">
      <c r="A838" t="str">
        <f t="shared" si="13"/>
        <v>AZ Today's Option</v>
      </c>
      <c r="B838" s="1" t="s">
        <v>388</v>
      </c>
      <c r="C838" s="1" t="s">
        <v>416</v>
      </c>
      <c r="D838" s="1" t="str">
        <f>IFERROR(VLOOKUP(A838,'MLR Data'!$A$2:$D$706,4,0),"")</f>
        <v/>
      </c>
      <c r="E838" s="5" t="s">
        <v>853</v>
      </c>
    </row>
    <row r="839" spans="1:5" x14ac:dyDescent="0.3">
      <c r="A839" t="str">
        <f t="shared" si="13"/>
        <v>AZ Universal American</v>
      </c>
      <c r="B839" s="1" t="s">
        <v>388</v>
      </c>
      <c r="C839" s="1" t="s">
        <v>384</v>
      </c>
      <c r="D839" s="1" t="str">
        <f>IFERROR(VLOOKUP(A839,'MLR Data'!$A$2:$D$706,4,0),"")</f>
        <v/>
      </c>
      <c r="E839" s="5" t="s">
        <v>853</v>
      </c>
    </row>
    <row r="840" spans="1:5" x14ac:dyDescent="0.3">
      <c r="A840" t="str">
        <f t="shared" si="13"/>
        <v>AZ Cigna HealthCare of Arizona</v>
      </c>
      <c r="B840" s="1" t="s">
        <v>388</v>
      </c>
      <c r="C840" s="1" t="s">
        <v>417</v>
      </c>
      <c r="D840" s="1" t="str">
        <f>IFERROR(VLOOKUP(A840,'MLR Data'!$A$2:$D$706,4,0),"")</f>
        <v/>
      </c>
      <c r="E840" s="5" t="s">
        <v>27</v>
      </c>
    </row>
    <row r="841" spans="1:5" x14ac:dyDescent="0.3">
      <c r="A841" t="str">
        <f t="shared" si="13"/>
        <v>AZ Universal American Corp.</v>
      </c>
      <c r="B841" s="1" t="s">
        <v>388</v>
      </c>
      <c r="C841" s="1" t="s">
        <v>383</v>
      </c>
      <c r="D841" s="1" t="str">
        <f>IFERROR(VLOOKUP(A841,'MLR Data'!$A$2:$D$706,4,0),"")</f>
        <v/>
      </c>
      <c r="E841" s="5" t="s">
        <v>853</v>
      </c>
    </row>
    <row r="842" spans="1:5" x14ac:dyDescent="0.3">
      <c r="A842" t="str">
        <f t="shared" si="13"/>
        <v>CA Center For Elders' Independence</v>
      </c>
      <c r="B842" s="1" t="s">
        <v>418</v>
      </c>
      <c r="C842" s="1" t="s">
        <v>420</v>
      </c>
      <c r="D842" s="1" t="str">
        <f>IFERROR(VLOOKUP(A842,'MLR Data'!$A$2:$D$706,4,0),"")</f>
        <v/>
      </c>
      <c r="E842" s="3" t="s">
        <v>853</v>
      </c>
    </row>
    <row r="843" spans="1:5" x14ac:dyDescent="0.3">
      <c r="A843" t="str">
        <f t="shared" si="13"/>
        <v>CA Alameda Alliance for Health</v>
      </c>
      <c r="B843" s="1" t="s">
        <v>418</v>
      </c>
      <c r="C843" s="1" t="s">
        <v>421</v>
      </c>
      <c r="D843" s="1" t="str">
        <f>IFERROR(VLOOKUP(A843,'MLR Data'!$A$2:$D$706,4,0),"")</f>
        <v/>
      </c>
      <c r="E843" s="3" t="s">
        <v>853</v>
      </c>
    </row>
    <row r="844" spans="1:5" x14ac:dyDescent="0.3">
      <c r="A844" t="str">
        <f t="shared" si="13"/>
        <v>CA Contra Costa Health Plan</v>
      </c>
      <c r="B844" s="1" t="s">
        <v>418</v>
      </c>
      <c r="C844" s="1" t="s">
        <v>426</v>
      </c>
      <c r="D844" s="1" t="str">
        <f>IFERROR(VLOOKUP(A844,'MLR Data'!$A$2:$D$706,4,0),"")</f>
        <v/>
      </c>
      <c r="E844" s="3" t="s">
        <v>853</v>
      </c>
    </row>
    <row r="845" spans="1:5" x14ac:dyDescent="0.3">
      <c r="A845" t="str">
        <f t="shared" si="13"/>
        <v>CA Today's Options</v>
      </c>
      <c r="B845" s="1" t="s">
        <v>418</v>
      </c>
      <c r="C845" s="1" t="s">
        <v>431</v>
      </c>
      <c r="D845" s="1" t="str">
        <f>IFERROR(VLOOKUP(A845,'MLR Data'!$A$2:$D$706,4,0),"")</f>
        <v/>
      </c>
      <c r="E845" s="5" t="s">
        <v>15</v>
      </c>
    </row>
    <row r="846" spans="1:5" x14ac:dyDescent="0.3">
      <c r="A846" t="str">
        <f t="shared" si="13"/>
        <v>CA GEMCARE Health Plan</v>
      </c>
      <c r="B846" s="1" t="s">
        <v>418</v>
      </c>
      <c r="C846" s="1" t="s">
        <v>432</v>
      </c>
      <c r="D846" s="1" t="str">
        <f>IFERROR(VLOOKUP(A846,'MLR Data'!$A$2:$D$706,4,0),"")</f>
        <v/>
      </c>
      <c r="E846" s="3" t="s">
        <v>853</v>
      </c>
    </row>
    <row r="847" spans="1:5" x14ac:dyDescent="0.3">
      <c r="A847" t="str">
        <f t="shared" si="13"/>
        <v>CA AltaMed Health Services Corporation</v>
      </c>
      <c r="B847" s="1" t="s">
        <v>418</v>
      </c>
      <c r="C847" s="1" t="s">
        <v>434</v>
      </c>
      <c r="D847" s="1" t="str">
        <f>IFERROR(VLOOKUP(A847,'MLR Data'!$A$2:$D$706,4,0),"")</f>
        <v/>
      </c>
      <c r="E847" s="3" t="s">
        <v>853</v>
      </c>
    </row>
    <row r="848" spans="1:5" x14ac:dyDescent="0.3">
      <c r="A848" t="str">
        <f t="shared" si="13"/>
        <v>CA L.A. Care Health Plan Medicare Advantage</v>
      </c>
      <c r="B848" s="1" t="s">
        <v>418</v>
      </c>
      <c r="C848" s="1" t="s">
        <v>437</v>
      </c>
      <c r="D848" s="1" t="str">
        <f>IFERROR(VLOOKUP(A848,'MLR Data'!$A$2:$D$706,4,0),"")</f>
        <v/>
      </c>
      <c r="E848" s="3" t="s">
        <v>853</v>
      </c>
    </row>
    <row r="849" spans="1:5" x14ac:dyDescent="0.3">
      <c r="A849" t="str">
        <f t="shared" si="13"/>
        <v>CA Golden State Medicare Health Plan, Golden (HMO)</v>
      </c>
      <c r="B849" s="1" t="s">
        <v>418</v>
      </c>
      <c r="C849" s="1" t="s">
        <v>448</v>
      </c>
      <c r="D849" s="1" t="str">
        <f>IFERROR(VLOOKUP(A849,'MLR Data'!$A$2:$D$706,4,0),"")</f>
        <v/>
      </c>
      <c r="E849" s="5"/>
    </row>
    <row r="850" spans="1:5" x14ac:dyDescent="0.3">
      <c r="A850" t="str">
        <f t="shared" si="13"/>
        <v>CA OneCare</v>
      </c>
      <c r="B850" s="1" t="s">
        <v>418</v>
      </c>
      <c r="C850" s="1" t="s">
        <v>449</v>
      </c>
      <c r="D850" s="1" t="str">
        <f>IFERROR(VLOOKUP(A850,'MLR Data'!$A$2:$D$706,4,0),"")</f>
        <v/>
      </c>
      <c r="E850" s="3" t="s">
        <v>853</v>
      </c>
    </row>
    <row r="851" spans="1:5" x14ac:dyDescent="0.3">
      <c r="A851" t="str">
        <f t="shared" si="13"/>
        <v>CA VillageHealth</v>
      </c>
      <c r="B851" s="1" t="s">
        <v>418</v>
      </c>
      <c r="C851" s="1" t="s">
        <v>453</v>
      </c>
      <c r="D851" s="1" t="str">
        <f>IFERROR(VLOOKUP(A851,'MLR Data'!$A$2:$D$706,4,0),"")</f>
        <v/>
      </c>
      <c r="E851" s="3" t="s">
        <v>853</v>
      </c>
    </row>
    <row r="852" spans="1:5" x14ac:dyDescent="0.3">
      <c r="A852" t="str">
        <f t="shared" si="13"/>
        <v>CA Sutter SeniorCare PACE</v>
      </c>
      <c r="B852" s="1" t="s">
        <v>418</v>
      </c>
      <c r="C852" s="1" t="s">
        <v>456</v>
      </c>
      <c r="D852" s="1" t="str">
        <f>IFERROR(VLOOKUP(A852,'MLR Data'!$A$2:$D$706,4,0),"")</f>
        <v/>
      </c>
      <c r="E852" s="3" t="s">
        <v>853</v>
      </c>
    </row>
    <row r="853" spans="1:5" x14ac:dyDescent="0.3">
      <c r="A853" t="str">
        <f t="shared" si="13"/>
        <v>CA St. Paul's PACE</v>
      </c>
      <c r="B853" s="1" t="s">
        <v>418</v>
      </c>
      <c r="C853" s="1" t="s">
        <v>457</v>
      </c>
      <c r="D853" s="1" t="str">
        <f>IFERROR(VLOOKUP(A853,'MLR Data'!$A$2:$D$706,4,0),"")</f>
        <v/>
      </c>
      <c r="E853" s="3" t="s">
        <v>853</v>
      </c>
    </row>
    <row r="854" spans="1:5" x14ac:dyDescent="0.3">
      <c r="A854" t="str">
        <f t="shared" si="13"/>
        <v>CA Community Health Group</v>
      </c>
      <c r="B854" s="1" t="s">
        <v>418</v>
      </c>
      <c r="C854" s="1" t="s">
        <v>458</v>
      </c>
      <c r="D854" s="1" t="str">
        <f>IFERROR(VLOOKUP(A854,'MLR Data'!$A$2:$D$706,4,0),"")</f>
        <v/>
      </c>
      <c r="E854" s="3" t="s">
        <v>853</v>
      </c>
    </row>
    <row r="855" spans="1:5" x14ac:dyDescent="0.3">
      <c r="A855" t="str">
        <f t="shared" si="13"/>
        <v>CA Health Plan of San Mateo</v>
      </c>
      <c r="B855" s="1" t="s">
        <v>418</v>
      </c>
      <c r="C855" s="1" t="s">
        <v>459</v>
      </c>
      <c r="D855" s="1" t="str">
        <f>IFERROR(VLOOKUP(A855,'MLR Data'!$A$2:$D$706,4,0),"")</f>
        <v/>
      </c>
      <c r="E855" s="3" t="s">
        <v>853</v>
      </c>
    </row>
    <row r="856" spans="1:5" x14ac:dyDescent="0.3">
      <c r="A856" t="str">
        <f t="shared" si="13"/>
        <v>CA Santa Clara Family Health Plan</v>
      </c>
      <c r="B856" s="1" t="s">
        <v>418</v>
      </c>
      <c r="C856" s="1" t="s">
        <v>460</v>
      </c>
      <c r="D856" s="1" t="str">
        <f>IFERROR(VLOOKUP(A856,'MLR Data'!$A$2:$D$706,4,0),"")</f>
        <v/>
      </c>
      <c r="E856" s="3" t="s">
        <v>853</v>
      </c>
    </row>
    <row r="857" spans="1:5" x14ac:dyDescent="0.3">
      <c r="A857" t="str">
        <f t="shared" si="13"/>
        <v>CA Health Net</v>
      </c>
      <c r="B857" s="1" t="s">
        <v>418</v>
      </c>
      <c r="C857" s="1" t="s">
        <v>461</v>
      </c>
      <c r="D857" s="1" t="str">
        <f>IFERROR(VLOOKUP(A857,'MLR Data'!$A$2:$D$706,4,0),"")</f>
        <v/>
      </c>
      <c r="E857" s="5" t="s">
        <v>47</v>
      </c>
    </row>
    <row r="858" spans="1:5" x14ac:dyDescent="0.3">
      <c r="A858" t="str">
        <f t="shared" si="13"/>
        <v>CA Arcadian Health Plan, Inc.</v>
      </c>
      <c r="B858" s="1" t="s">
        <v>418</v>
      </c>
      <c r="C858" s="1" t="s">
        <v>462</v>
      </c>
      <c r="D858" s="1" t="str">
        <f>IFERROR(VLOOKUP(A858,'MLR Data'!$A$2:$D$706,4,0),"")</f>
        <v/>
      </c>
      <c r="E858" s="5" t="s">
        <v>15</v>
      </c>
    </row>
    <row r="859" spans="1:5" x14ac:dyDescent="0.3">
      <c r="A859" t="str">
        <f t="shared" si="13"/>
        <v>CA Spokane Community Care</v>
      </c>
      <c r="B859" s="1" t="s">
        <v>418</v>
      </c>
      <c r="C859" s="1" t="s">
        <v>463</v>
      </c>
      <c r="D859" s="1" t="str">
        <f>IFERROR(VLOOKUP(A859,'MLR Data'!$A$2:$D$706,4,0),"")</f>
        <v/>
      </c>
      <c r="E859" s="3" t="s">
        <v>853</v>
      </c>
    </row>
    <row r="860" spans="1:5" x14ac:dyDescent="0.3">
      <c r="A860" t="str">
        <f t="shared" si="13"/>
        <v>CO Colorado Access Advantage</v>
      </c>
      <c r="B860" s="1" t="s">
        <v>464</v>
      </c>
      <c r="C860" s="1" t="s">
        <v>471</v>
      </c>
      <c r="D860" s="1" t="str">
        <f>IFERROR(VLOOKUP(A860,'MLR Data'!$A$2:$D$706,4,0),"")</f>
        <v/>
      </c>
      <c r="E860" s="3" t="s">
        <v>853</v>
      </c>
    </row>
    <row r="861" spans="1:5" x14ac:dyDescent="0.3">
      <c r="A861" t="str">
        <f t="shared" si="13"/>
        <v>CO Rocky Mountain PACE</v>
      </c>
      <c r="B861" s="1" t="s">
        <v>464</v>
      </c>
      <c r="C861" s="1" t="s">
        <v>472</v>
      </c>
      <c r="D861" s="1" t="str">
        <f>IFERROR(VLOOKUP(A861,'MLR Data'!$A$2:$D$706,4,0),"")</f>
        <v/>
      </c>
      <c r="E861" s="3" t="s">
        <v>853</v>
      </c>
    </row>
    <row r="862" spans="1:5" x14ac:dyDescent="0.3">
      <c r="A862" t="str">
        <f t="shared" si="13"/>
        <v>CO AARP MedicareComplete from SecureHorizons</v>
      </c>
      <c r="B862" s="1" t="s">
        <v>464</v>
      </c>
      <c r="C862" s="1" t="s">
        <v>473</v>
      </c>
      <c r="D862" s="1" t="str">
        <f>IFERROR(VLOOKUP(A862,'MLR Data'!$A$2:$D$706,4,0),"")</f>
        <v/>
      </c>
      <c r="E862" s="5" t="s">
        <v>20</v>
      </c>
    </row>
    <row r="863" spans="1:5" x14ac:dyDescent="0.3">
      <c r="A863" t="str">
        <f t="shared" si="13"/>
        <v>CO Universal American</v>
      </c>
      <c r="B863" s="1" t="s">
        <v>464</v>
      </c>
      <c r="C863" s="1" t="s">
        <v>384</v>
      </c>
      <c r="D863" s="1" t="str">
        <f>IFERROR(VLOOKUP(A863,'MLR Data'!$A$2:$D$706,4,0),"")</f>
        <v/>
      </c>
      <c r="E863" s="3" t="s">
        <v>853</v>
      </c>
    </row>
    <row r="864" spans="1:5" x14ac:dyDescent="0.3">
      <c r="A864" t="str">
        <f t="shared" si="13"/>
        <v>CO WellCare</v>
      </c>
      <c r="B864" s="1" t="s">
        <v>464</v>
      </c>
      <c r="C864" s="1" t="s">
        <v>381</v>
      </c>
      <c r="D864" s="1" t="str">
        <f>IFERROR(VLOOKUP(A864,'MLR Data'!$A$2:$D$706,4,0),"")</f>
        <v/>
      </c>
      <c r="E864" s="3" t="s">
        <v>853</v>
      </c>
    </row>
    <row r="865" spans="1:5" x14ac:dyDescent="0.3">
      <c r="A865" t="str">
        <f t="shared" si="13"/>
        <v>CT AARP MedicareComplete from SecureHorizons</v>
      </c>
      <c r="B865" s="1" t="s">
        <v>474</v>
      </c>
      <c r="C865" s="1" t="s">
        <v>473</v>
      </c>
      <c r="D865" s="1" t="str">
        <f>IFERROR(VLOOKUP(A865,'MLR Data'!$A$2:$D$706,4,0),"")</f>
        <v/>
      </c>
      <c r="E865" s="5" t="s">
        <v>20</v>
      </c>
    </row>
    <row r="866" spans="1:5" x14ac:dyDescent="0.3">
      <c r="A866" t="str">
        <f t="shared" si="13"/>
        <v>DE Advantra® Freedom</v>
      </c>
      <c r="B866" s="1" t="s">
        <v>479</v>
      </c>
      <c r="C866" s="1" t="s">
        <v>387</v>
      </c>
      <c r="D866" s="1" t="str">
        <f>IFERROR(VLOOKUP(A866,'MLR Data'!$A$2:$D$706,4,0),"")</f>
        <v/>
      </c>
      <c r="E866" s="5" t="s">
        <v>26</v>
      </c>
    </row>
    <row r="867" spans="1:5" x14ac:dyDescent="0.3">
      <c r="A867" t="str">
        <f t="shared" si="13"/>
        <v>DE Bravo by Elder Health</v>
      </c>
      <c r="B867" s="1" t="s">
        <v>479</v>
      </c>
      <c r="C867" s="1" t="s">
        <v>481</v>
      </c>
      <c r="D867" s="1" t="str">
        <f>IFERROR(VLOOKUP(A867,'MLR Data'!$A$2:$D$706,4,0),"")</f>
        <v/>
      </c>
      <c r="E867" s="3" t="s">
        <v>853</v>
      </c>
    </row>
    <row r="868" spans="1:5" x14ac:dyDescent="0.3">
      <c r="A868" t="str">
        <f t="shared" si="13"/>
        <v>FL AvMed Medicare Preferred</v>
      </c>
      <c r="B868" s="1" t="s">
        <v>482</v>
      </c>
      <c r="C868" s="1" t="s">
        <v>498</v>
      </c>
      <c r="D868" s="1" t="str">
        <f>IFERROR(VLOOKUP(A868,'MLR Data'!$A$2:$D$706,4,0),"")</f>
        <v/>
      </c>
      <c r="E868" s="5" t="s">
        <v>74</v>
      </c>
    </row>
    <row r="869" spans="1:5" x14ac:dyDescent="0.3">
      <c r="A869" t="str">
        <f t="shared" si="13"/>
        <v>FL SunCoast Physicians Health Plan, Inc</v>
      </c>
      <c r="B869" s="1" t="s">
        <v>482</v>
      </c>
      <c r="C869" s="1" t="s">
        <v>505</v>
      </c>
      <c r="D869" s="1" t="str">
        <f>IFERROR(VLOOKUP(A869,'MLR Data'!$A$2:$D$706,4,0),"")</f>
        <v/>
      </c>
      <c r="E869" s="3" t="s">
        <v>853</v>
      </c>
    </row>
    <row r="870" spans="1:5" x14ac:dyDescent="0.3">
      <c r="A870" t="str">
        <f t="shared" si="13"/>
        <v>FL Hope Select Care</v>
      </c>
      <c r="B870" s="1" t="s">
        <v>482</v>
      </c>
      <c r="C870" s="1" t="s">
        <v>516</v>
      </c>
      <c r="D870" s="1" t="str">
        <f>IFERROR(VLOOKUP(A870,'MLR Data'!$A$2:$D$706,4,0),"")</f>
        <v/>
      </c>
      <c r="E870" s="3" t="s">
        <v>853</v>
      </c>
    </row>
    <row r="871" spans="1:5" x14ac:dyDescent="0.3">
      <c r="A871" t="str">
        <f t="shared" si="13"/>
        <v>FL SecureHorizons MedicareDirect</v>
      </c>
      <c r="B871" s="1" t="s">
        <v>482</v>
      </c>
      <c r="C871" s="1" t="s">
        <v>390</v>
      </c>
      <c r="D871" s="1" t="str">
        <f>IFERROR(VLOOKUP(A871,'MLR Data'!$A$2:$D$706,4,0),"")</f>
        <v/>
      </c>
      <c r="E871" s="5" t="s">
        <v>20</v>
      </c>
    </row>
    <row r="872" spans="1:5" x14ac:dyDescent="0.3">
      <c r="A872" t="str">
        <f t="shared" si="13"/>
        <v>FL AvMed Medicare</v>
      </c>
      <c r="B872" s="1" t="s">
        <v>482</v>
      </c>
      <c r="C872" s="1" t="s">
        <v>517</v>
      </c>
      <c r="D872" s="1" t="str">
        <f>IFERROR(VLOOKUP(A872,'MLR Data'!$A$2:$D$706,4,0),"")</f>
        <v/>
      </c>
      <c r="E872" s="5" t="s">
        <v>74</v>
      </c>
    </row>
    <row r="873" spans="1:5" x14ac:dyDescent="0.3">
      <c r="A873" t="str">
        <f t="shared" si="13"/>
        <v>FL Florida Pace Centers, Inc.</v>
      </c>
      <c r="B873" s="1" t="s">
        <v>482</v>
      </c>
      <c r="C873" s="1" t="s">
        <v>518</v>
      </c>
      <c r="D873" s="1" t="str">
        <f>IFERROR(VLOOKUP(A873,'MLR Data'!$A$2:$D$706,4,0),"")</f>
        <v/>
      </c>
      <c r="E873" s="3" t="s">
        <v>853</v>
      </c>
    </row>
    <row r="874" spans="1:5" x14ac:dyDescent="0.3">
      <c r="A874" t="str">
        <f t="shared" si="13"/>
        <v>FL Suncoast Neighborly Care, Inc.</v>
      </c>
      <c r="B874" s="1" t="s">
        <v>482</v>
      </c>
      <c r="C874" s="1" t="s">
        <v>522</v>
      </c>
      <c r="D874" s="1" t="str">
        <f>IFERROR(VLOOKUP(A874,'MLR Data'!$A$2:$D$706,4,0),"")</f>
        <v/>
      </c>
      <c r="E874" s="3" t="s">
        <v>853</v>
      </c>
    </row>
    <row r="875" spans="1:5" x14ac:dyDescent="0.3">
      <c r="A875" t="str">
        <f t="shared" si="13"/>
        <v>GA Today's Option</v>
      </c>
      <c r="B875" s="1" t="s">
        <v>523</v>
      </c>
      <c r="C875" s="1" t="s">
        <v>416</v>
      </c>
      <c r="D875" s="1" t="str">
        <f>IFERROR(VLOOKUP(A875,'MLR Data'!$A$2:$D$706,4,0),"")</f>
        <v/>
      </c>
      <c r="E875" s="5" t="s">
        <v>15</v>
      </c>
    </row>
    <row r="876" spans="1:5" x14ac:dyDescent="0.3">
      <c r="A876" t="str">
        <f t="shared" si="13"/>
        <v>GA Advantra</v>
      </c>
      <c r="B876" s="1" t="s">
        <v>523</v>
      </c>
      <c r="C876" s="1" t="s">
        <v>527</v>
      </c>
      <c r="D876" s="1" t="str">
        <f>IFERROR(VLOOKUP(A876,'MLR Data'!$A$2:$D$706,4,0),"")</f>
        <v/>
      </c>
      <c r="E876" s="5" t="s">
        <v>92</v>
      </c>
    </row>
    <row r="877" spans="1:5" x14ac:dyDescent="0.3">
      <c r="A877" t="str">
        <f t="shared" si="13"/>
        <v>GA Universal American Corp.</v>
      </c>
      <c r="B877" s="1" t="s">
        <v>523</v>
      </c>
      <c r="C877" s="1" t="s">
        <v>383</v>
      </c>
      <c r="D877" s="1" t="str">
        <f>IFERROR(VLOOKUP(A877,'MLR Data'!$A$2:$D$706,4,0),"")</f>
        <v/>
      </c>
      <c r="E877" s="3" t="s">
        <v>853</v>
      </c>
    </row>
    <row r="878" spans="1:5" x14ac:dyDescent="0.3">
      <c r="A878" t="str">
        <f t="shared" si="13"/>
        <v>HI Akamai Advantage by HMSA</v>
      </c>
      <c r="B878" s="1" t="s">
        <v>529</v>
      </c>
      <c r="C878" s="1" t="s">
        <v>534</v>
      </c>
      <c r="D878" s="1" t="str">
        <f>IFERROR(VLOOKUP(A878,'MLR Data'!$A$2:$D$706,4,0),"")</f>
        <v/>
      </c>
      <c r="E878" s="3" t="s">
        <v>853</v>
      </c>
    </row>
    <row r="879" spans="1:5" x14ac:dyDescent="0.3">
      <c r="A879" t="str">
        <f t="shared" si="13"/>
        <v>HI Today's Options Powered by CCRx</v>
      </c>
      <c r="B879" s="1" t="s">
        <v>529</v>
      </c>
      <c r="C879" s="1" t="s">
        <v>535</v>
      </c>
      <c r="D879" s="1" t="str">
        <f>IFERROR(VLOOKUP(A879,'MLR Data'!$A$2:$D$706,4,0),"")</f>
        <v/>
      </c>
      <c r="E879" s="5" t="s">
        <v>15</v>
      </c>
    </row>
    <row r="880" spans="1:5" x14ac:dyDescent="0.3">
      <c r="A880" t="str">
        <f t="shared" si="13"/>
        <v>ID SecureHorizons MedicareDirect</v>
      </c>
      <c r="B880" s="1" t="s">
        <v>539</v>
      </c>
      <c r="C880" s="1" t="s">
        <v>390</v>
      </c>
      <c r="D880" s="1" t="str">
        <f>IFERROR(VLOOKUP(A880,'MLR Data'!$A$2:$D$706,4,0),"")</f>
        <v/>
      </c>
      <c r="E880" s="5" t="s">
        <v>20</v>
      </c>
    </row>
    <row r="881" spans="1:5" x14ac:dyDescent="0.3">
      <c r="A881" t="str">
        <f t="shared" si="13"/>
        <v>IN Essence Healthcare</v>
      </c>
      <c r="B881" s="1" t="s">
        <v>549</v>
      </c>
      <c r="C881" s="1" t="s">
        <v>548</v>
      </c>
      <c r="D881" s="1" t="str">
        <f>IFERROR(VLOOKUP(A881,'MLR Data'!$A$2:$D$706,4,0),"")</f>
        <v/>
      </c>
      <c r="E881" s="3" t="s">
        <v>853</v>
      </c>
    </row>
    <row r="882" spans="1:5" x14ac:dyDescent="0.3">
      <c r="A882" t="str">
        <f t="shared" si="13"/>
        <v>KS AARP MedicareComplete provided by SecureHorizons</v>
      </c>
      <c r="B882" s="1" t="s">
        <v>555</v>
      </c>
      <c r="C882" s="1" t="s">
        <v>468</v>
      </c>
      <c r="D882" s="1" t="str">
        <f>IFERROR(VLOOKUP(A882,'MLR Data'!$A$2:$D$706,4,0),"")</f>
        <v/>
      </c>
      <c r="E882" s="5" t="s">
        <v>20</v>
      </c>
    </row>
    <row r="883" spans="1:5" x14ac:dyDescent="0.3">
      <c r="A883" t="str">
        <f t="shared" si="13"/>
        <v>KS Sterling Life Insurance Company</v>
      </c>
      <c r="B883" s="1" t="s">
        <v>555</v>
      </c>
      <c r="C883" s="1" t="s">
        <v>391</v>
      </c>
      <c r="D883" s="1" t="str">
        <f>IFERROR(VLOOKUP(A883,'MLR Data'!$A$2:$D$706,4,0),"")</f>
        <v/>
      </c>
      <c r="E883" s="3" t="s">
        <v>853</v>
      </c>
    </row>
    <row r="884" spans="1:5" x14ac:dyDescent="0.3">
      <c r="A884" t="str">
        <f t="shared" si="13"/>
        <v>KS Universal American</v>
      </c>
      <c r="B884" s="1" t="s">
        <v>555</v>
      </c>
      <c r="C884" s="1" t="s">
        <v>384</v>
      </c>
      <c r="D884" s="1" t="str">
        <f>IFERROR(VLOOKUP(A884,'MLR Data'!$A$2:$D$706,4,0),"")</f>
        <v/>
      </c>
      <c r="E884" s="3" t="s">
        <v>853</v>
      </c>
    </row>
    <row r="885" spans="1:5" x14ac:dyDescent="0.3">
      <c r="A885" t="str">
        <f t="shared" si="13"/>
        <v>KS Via Christi HOPE</v>
      </c>
      <c r="B885" s="1" t="s">
        <v>555</v>
      </c>
      <c r="C885" s="1" t="s">
        <v>557</v>
      </c>
      <c r="D885" s="1" t="str">
        <f>IFERROR(VLOOKUP(A885,'MLR Data'!$A$2:$D$706,4,0),"")</f>
        <v/>
      </c>
      <c r="E885" s="3" t="s">
        <v>853</v>
      </c>
    </row>
    <row r="886" spans="1:5" x14ac:dyDescent="0.3">
      <c r="A886" t="str">
        <f t="shared" si="13"/>
        <v>KS COVENTRY HEALTH CARE</v>
      </c>
      <c r="B886" s="1" t="s">
        <v>555</v>
      </c>
      <c r="C886" s="1" t="s">
        <v>558</v>
      </c>
      <c r="D886" s="1" t="str">
        <f>IFERROR(VLOOKUP(A886,'MLR Data'!$A$2:$D$706,4,0),"")</f>
        <v/>
      </c>
      <c r="E886" s="5" t="s">
        <v>121</v>
      </c>
    </row>
    <row r="887" spans="1:5" x14ac:dyDescent="0.3">
      <c r="A887" t="str">
        <f t="shared" si="13"/>
        <v>KY Universal American Corp.</v>
      </c>
      <c r="B887" s="1" t="s">
        <v>559</v>
      </c>
      <c r="C887" s="1" t="s">
        <v>383</v>
      </c>
      <c r="D887" s="1" t="str">
        <f>IFERROR(VLOOKUP(A887,'MLR Data'!$A$2:$D$706,4,0),"")</f>
        <v/>
      </c>
      <c r="E887" s="3" t="s">
        <v>853</v>
      </c>
    </row>
    <row r="888" spans="1:5" x14ac:dyDescent="0.3">
      <c r="A888" t="str">
        <f t="shared" si="13"/>
        <v>LA SecureHorizons MedicareDirect</v>
      </c>
      <c r="B888" s="1" t="s">
        <v>561</v>
      </c>
      <c r="C888" s="1" t="s">
        <v>390</v>
      </c>
      <c r="D888" s="1" t="str">
        <f>IFERROR(VLOOKUP(A888,'MLR Data'!$A$2:$D$706,4,0),"")</f>
        <v/>
      </c>
      <c r="E888" s="5" t="s">
        <v>20</v>
      </c>
    </row>
    <row r="889" spans="1:5" x14ac:dyDescent="0.3">
      <c r="A889" t="str">
        <f t="shared" si="13"/>
        <v>LA Universal American Corp.</v>
      </c>
      <c r="B889" s="1" t="s">
        <v>561</v>
      </c>
      <c r="C889" s="1" t="s">
        <v>383</v>
      </c>
      <c r="D889" s="1" t="str">
        <f>IFERROR(VLOOKUP(A889,'MLR Data'!$A$2:$D$706,4,0),"")</f>
        <v/>
      </c>
      <c r="E889" s="3" t="s">
        <v>853</v>
      </c>
    </row>
    <row r="890" spans="1:5" x14ac:dyDescent="0.3">
      <c r="A890" t="str">
        <f t="shared" si="13"/>
        <v>LA Pace Greater New Orleans</v>
      </c>
      <c r="B890" s="1" t="s">
        <v>561</v>
      </c>
      <c r="C890" s="1" t="s">
        <v>567</v>
      </c>
      <c r="D890" s="1" t="str">
        <f>IFERROR(VLOOKUP(A890,'MLR Data'!$A$2:$D$706,4,0),"")</f>
        <v/>
      </c>
      <c r="E890" s="3" t="s">
        <v>853</v>
      </c>
    </row>
    <row r="891" spans="1:5" x14ac:dyDescent="0.3">
      <c r="A891" t="str">
        <f t="shared" si="13"/>
        <v>MA Elder Service Plan of the North Shore</v>
      </c>
      <c r="B891" s="1" t="s">
        <v>569</v>
      </c>
      <c r="C891" s="1" t="s">
        <v>576</v>
      </c>
      <c r="D891" s="1" t="str">
        <f>IFERROR(VLOOKUP(A891,'MLR Data'!$A$2:$D$706,4,0),"")</f>
        <v/>
      </c>
      <c r="E891" s="3" t="s">
        <v>853</v>
      </c>
    </row>
    <row r="892" spans="1:5" x14ac:dyDescent="0.3">
      <c r="A892" t="str">
        <f t="shared" si="13"/>
        <v>MA AARP MedicareComplete provided by SecureHorizons</v>
      </c>
      <c r="B892" s="1" t="s">
        <v>569</v>
      </c>
      <c r="C892" s="1" t="s">
        <v>468</v>
      </c>
      <c r="D892" s="1" t="str">
        <f>IFERROR(VLOOKUP(A892,'MLR Data'!$A$2:$D$706,4,0),"")</f>
        <v/>
      </c>
      <c r="E892" s="5" t="s">
        <v>20</v>
      </c>
    </row>
    <row r="893" spans="1:5" x14ac:dyDescent="0.3">
      <c r="A893" t="str">
        <f t="shared" si="13"/>
        <v>MA Elder Srvc Pln/Cambridge Health Alliance</v>
      </c>
      <c r="B893" s="1" t="s">
        <v>569</v>
      </c>
      <c r="C893" s="1" t="s">
        <v>580</v>
      </c>
      <c r="D893" s="1" t="str">
        <f>IFERROR(VLOOKUP(A893,'MLR Data'!$A$2:$D$706,4,0),"")</f>
        <v/>
      </c>
      <c r="E893" s="3" t="s">
        <v>853</v>
      </c>
    </row>
    <row r="894" spans="1:5" x14ac:dyDescent="0.3">
      <c r="A894" t="str">
        <f t="shared" si="13"/>
        <v>MA AARP MedicareComplete from SecureHorizons</v>
      </c>
      <c r="B894" s="1" t="s">
        <v>569</v>
      </c>
      <c r="C894" s="1" t="s">
        <v>473</v>
      </c>
      <c r="D894" s="1" t="str">
        <f>IFERROR(VLOOKUP(A894,'MLR Data'!$A$2:$D$706,4,0),"")</f>
        <v/>
      </c>
      <c r="E894" s="5" t="s">
        <v>20</v>
      </c>
    </row>
    <row r="895" spans="1:5" x14ac:dyDescent="0.3">
      <c r="A895" t="str">
        <f t="shared" si="13"/>
        <v>MA Uphams Corner Health Committee, Inc.</v>
      </c>
      <c r="B895" s="1" t="s">
        <v>569</v>
      </c>
      <c r="C895" s="1" t="s">
        <v>582</v>
      </c>
      <c r="D895" s="1" t="str">
        <f>IFERROR(VLOOKUP(A895,'MLR Data'!$A$2:$D$706,4,0),"")</f>
        <v/>
      </c>
      <c r="E895" s="3" t="s">
        <v>853</v>
      </c>
    </row>
    <row r="896" spans="1:5" x14ac:dyDescent="0.3">
      <c r="A896" t="str">
        <f t="shared" si="13"/>
        <v>MA Elder Svc Pln/E Boston Health Center</v>
      </c>
      <c r="B896" s="1" t="s">
        <v>569</v>
      </c>
      <c r="C896" s="1" t="s">
        <v>583</v>
      </c>
      <c r="D896" s="1" t="str">
        <f>IFERROR(VLOOKUP(A896,'MLR Data'!$A$2:$D$706,4,0),"")</f>
        <v/>
      </c>
      <c r="E896" s="3" t="s">
        <v>853</v>
      </c>
    </row>
    <row r="897" spans="1:5" x14ac:dyDescent="0.3">
      <c r="A897" t="str">
        <f t="shared" si="13"/>
        <v>MA Fallon Community Health Plan - Summit ElderCare</v>
      </c>
      <c r="B897" s="1" t="s">
        <v>569</v>
      </c>
      <c r="C897" s="1" t="s">
        <v>584</v>
      </c>
      <c r="D897" s="1" t="str">
        <f>IFERROR(VLOOKUP(A897,'MLR Data'!$A$2:$D$706,4,0),"")</f>
        <v/>
      </c>
      <c r="E897" s="5" t="s">
        <v>152</v>
      </c>
    </row>
    <row r="898" spans="1:5" x14ac:dyDescent="0.3">
      <c r="A898" t="str">
        <f t="shared" ref="A898:A961" si="14">B898&amp;" "&amp;C898</f>
        <v>MD Hopkins Elderplus</v>
      </c>
      <c r="B898" s="1" t="s">
        <v>586</v>
      </c>
      <c r="C898" s="1" t="s">
        <v>588</v>
      </c>
      <c r="D898" s="1" t="str">
        <f>IFERROR(VLOOKUP(A898,'MLR Data'!$A$2:$D$706,4,0),"")</f>
        <v/>
      </c>
    </row>
    <row r="899" spans="1:5" x14ac:dyDescent="0.3">
      <c r="A899" t="str">
        <f t="shared" si="14"/>
        <v>MD Advantra® Freedom</v>
      </c>
      <c r="B899" s="1" t="s">
        <v>586</v>
      </c>
      <c r="C899" s="1" t="s">
        <v>387</v>
      </c>
      <c r="D899" s="1" t="str">
        <f>IFERROR(VLOOKUP(A899,'MLR Data'!$A$2:$D$706,4,0),"")</f>
        <v/>
      </c>
      <c r="E899" s="5" t="s">
        <v>26</v>
      </c>
    </row>
    <row r="900" spans="1:5" x14ac:dyDescent="0.3">
      <c r="A900" t="str">
        <f t="shared" si="14"/>
        <v>MD UNIVERSAL HEALTH CARE INSURANCE COMPANY, INC.</v>
      </c>
      <c r="B900" s="1" t="s">
        <v>586</v>
      </c>
      <c r="C900" s="1" t="s">
        <v>394</v>
      </c>
      <c r="D900" s="1" t="str">
        <f>IFERROR(VLOOKUP(A900,'MLR Data'!$A$2:$D$706,4,0),"")</f>
        <v/>
      </c>
      <c r="E900" s="3" t="s">
        <v>853</v>
      </c>
    </row>
    <row r="901" spans="1:5" x14ac:dyDescent="0.3">
      <c r="A901" t="str">
        <f t="shared" si="14"/>
        <v>MD Unicare Life &amp; Health Ins. Company</v>
      </c>
      <c r="B901" s="1" t="s">
        <v>586</v>
      </c>
      <c r="C901" s="1" t="s">
        <v>415</v>
      </c>
      <c r="D901" s="1" t="str">
        <f>IFERROR(VLOOKUP(A901,'MLR Data'!$A$2:$D$706,4,0),"")</f>
        <v/>
      </c>
      <c r="E901" s="3" t="s">
        <v>853</v>
      </c>
    </row>
    <row r="902" spans="1:5" x14ac:dyDescent="0.3">
      <c r="A902" t="str">
        <f t="shared" si="14"/>
        <v>MD Universal American Corp.</v>
      </c>
      <c r="B902" s="1" t="s">
        <v>586</v>
      </c>
      <c r="C902" s="1" t="s">
        <v>383</v>
      </c>
      <c r="D902" s="1" t="str">
        <f>IFERROR(VLOOKUP(A902,'MLR Data'!$A$2:$D$706,4,0),"")</f>
        <v/>
      </c>
      <c r="E902" s="3" t="s">
        <v>853</v>
      </c>
    </row>
    <row r="903" spans="1:5" x14ac:dyDescent="0.3">
      <c r="A903" t="str">
        <f t="shared" si="14"/>
        <v>ME Evercare® Health Plans</v>
      </c>
      <c r="B903" s="1" t="s">
        <v>589</v>
      </c>
      <c r="C903" s="1" t="s">
        <v>408</v>
      </c>
      <c r="D903" s="1" t="str">
        <f>IFERROR(VLOOKUP(A903,'MLR Data'!$A$2:$D$706,4,0),"")</f>
        <v/>
      </c>
      <c r="E903" s="5" t="s">
        <v>20</v>
      </c>
    </row>
    <row r="904" spans="1:5" x14ac:dyDescent="0.3">
      <c r="A904" t="str">
        <f t="shared" si="14"/>
        <v>ME Today's Option</v>
      </c>
      <c r="B904" s="1" t="s">
        <v>589</v>
      </c>
      <c r="C904" s="1" t="s">
        <v>416</v>
      </c>
      <c r="D904" s="1" t="str">
        <f>IFERROR(VLOOKUP(A904,'MLR Data'!$A$2:$D$706,4,0),"")</f>
        <v/>
      </c>
      <c r="E904" s="5" t="s">
        <v>15</v>
      </c>
    </row>
    <row r="905" spans="1:5" x14ac:dyDescent="0.3">
      <c r="A905" t="str">
        <f t="shared" si="14"/>
        <v>MI CentraCare</v>
      </c>
      <c r="B905" s="1" t="s">
        <v>592</v>
      </c>
      <c r="C905" s="1" t="s">
        <v>596</v>
      </c>
      <c r="D905" s="1" t="str">
        <f>IFERROR(VLOOKUP(A905,'MLR Data'!$A$2:$D$706,4,0),"")</f>
        <v/>
      </c>
      <c r="E905" s="3" t="s">
        <v>853</v>
      </c>
    </row>
    <row r="906" spans="1:5" x14ac:dyDescent="0.3">
      <c r="A906" t="str">
        <f t="shared" si="14"/>
        <v>MI Care Resources</v>
      </c>
      <c r="B906" s="1" t="s">
        <v>592</v>
      </c>
      <c r="C906" s="1" t="s">
        <v>602</v>
      </c>
      <c r="D906" s="1" t="str">
        <f>IFERROR(VLOOKUP(A906,'MLR Data'!$A$2:$D$706,4,0),"")</f>
        <v/>
      </c>
      <c r="E906" s="3" t="s">
        <v>853</v>
      </c>
    </row>
    <row r="907" spans="1:5" x14ac:dyDescent="0.3">
      <c r="A907" t="str">
        <f t="shared" si="14"/>
        <v>MI LIFECIRCLES</v>
      </c>
      <c r="B907" s="1" t="s">
        <v>592</v>
      </c>
      <c r="C907" s="1" t="s">
        <v>604</v>
      </c>
      <c r="D907" s="1" t="str">
        <f>IFERROR(VLOOKUP(A907,'MLR Data'!$A$2:$D$706,4,0),"")</f>
        <v/>
      </c>
      <c r="E907" s="3" t="s">
        <v>853</v>
      </c>
    </row>
    <row r="908" spans="1:5" x14ac:dyDescent="0.3">
      <c r="A908" t="str">
        <f t="shared" si="14"/>
        <v>MI Center for Senior Independence</v>
      </c>
      <c r="B908" s="1" t="s">
        <v>592</v>
      </c>
      <c r="C908" s="1" t="s">
        <v>605</v>
      </c>
      <c r="D908" s="1" t="str">
        <f>IFERROR(VLOOKUP(A908,'MLR Data'!$A$2:$D$706,4,0),"")</f>
        <v/>
      </c>
      <c r="E908" s="3" t="s">
        <v>853</v>
      </c>
    </row>
    <row r="909" spans="1:5" x14ac:dyDescent="0.3">
      <c r="A909" t="str">
        <f t="shared" si="14"/>
        <v>MI HAP Midwest Advantage</v>
      </c>
      <c r="B909" s="1" t="s">
        <v>592</v>
      </c>
      <c r="C909" s="1" t="s">
        <v>606</v>
      </c>
      <c r="D909" s="1" t="str">
        <f>IFERROR(VLOOKUP(A909,'MLR Data'!$A$2:$D$706,4,0),"")</f>
        <v/>
      </c>
      <c r="E909" s="5" t="s">
        <v>165</v>
      </c>
    </row>
    <row r="910" spans="1:5" x14ac:dyDescent="0.3">
      <c r="A910" t="str">
        <f t="shared" si="14"/>
        <v>MI Great Lakes Personal Care Plus</v>
      </c>
      <c r="B910" s="1" t="s">
        <v>592</v>
      </c>
      <c r="C910" s="1" t="s">
        <v>607</v>
      </c>
      <c r="D910" s="1" t="str">
        <f>IFERROR(VLOOKUP(A910,'MLR Data'!$A$2:$D$706,4,0),"")</f>
        <v/>
      </c>
      <c r="E910" s="3" t="s">
        <v>853</v>
      </c>
    </row>
    <row r="911" spans="1:5" x14ac:dyDescent="0.3">
      <c r="A911" t="str">
        <f t="shared" si="14"/>
        <v>MN Metropolitan Health Plan MSHO</v>
      </c>
      <c r="B911" s="1" t="s">
        <v>608</v>
      </c>
      <c r="C911" s="1" t="s">
        <v>619</v>
      </c>
      <c r="D911" s="1" t="str">
        <f>IFERROR(VLOOKUP(A911,'MLR Data'!$A$2:$D$706,4,0),"")</f>
        <v/>
      </c>
      <c r="E911" s="3" t="s">
        <v>853</v>
      </c>
    </row>
    <row r="912" spans="1:5" x14ac:dyDescent="0.3">
      <c r="A912" t="str">
        <f t="shared" si="14"/>
        <v>MN Itasca Medical Care/IMCare Classic</v>
      </c>
      <c r="B912" s="1" t="s">
        <v>608</v>
      </c>
      <c r="C912" s="1" t="s">
        <v>620</v>
      </c>
      <c r="D912" s="1" t="str">
        <f>IFERROR(VLOOKUP(A912,'MLR Data'!$A$2:$D$706,4,0),"")</f>
        <v/>
      </c>
      <c r="E912" s="3" t="s">
        <v>853</v>
      </c>
    </row>
    <row r="913" spans="1:5" x14ac:dyDescent="0.3">
      <c r="A913" t="str">
        <f t="shared" si="14"/>
        <v>MN WellCare</v>
      </c>
      <c r="B913" s="1" t="s">
        <v>608</v>
      </c>
      <c r="C913" s="1" t="s">
        <v>381</v>
      </c>
      <c r="D913" s="1" t="str">
        <f>IFERROR(VLOOKUP(A913,'MLR Data'!$A$2:$D$706,4,0),"")</f>
        <v/>
      </c>
      <c r="E913" s="3" t="s">
        <v>853</v>
      </c>
    </row>
    <row r="914" spans="1:5" x14ac:dyDescent="0.3">
      <c r="A914" t="str">
        <f t="shared" si="14"/>
        <v>MO Universal American Corp.</v>
      </c>
      <c r="B914" s="1" t="s">
        <v>621</v>
      </c>
      <c r="C914" s="1" t="s">
        <v>383</v>
      </c>
      <c r="D914" s="1" t="str">
        <f>IFERROR(VLOOKUP(A914,'MLR Data'!$A$2:$D$706,4,0),"")</f>
        <v/>
      </c>
      <c r="E914" s="3" t="s">
        <v>853</v>
      </c>
    </row>
    <row r="915" spans="1:5" x14ac:dyDescent="0.3">
      <c r="A915" t="str">
        <f t="shared" si="14"/>
        <v>MO Sterling Life Insurance Company</v>
      </c>
      <c r="B915" s="1" t="s">
        <v>621</v>
      </c>
      <c r="C915" s="1" t="s">
        <v>391</v>
      </c>
      <c r="D915" s="1" t="str">
        <f>IFERROR(VLOOKUP(A915,'MLR Data'!$A$2:$D$706,4,0),"")</f>
        <v/>
      </c>
      <c r="E915" s="3" t="s">
        <v>853</v>
      </c>
    </row>
    <row r="916" spans="1:5" x14ac:dyDescent="0.3">
      <c r="A916" t="str">
        <f t="shared" si="14"/>
        <v>MS Today's Option</v>
      </c>
      <c r="B916" s="1" t="s">
        <v>626</v>
      </c>
      <c r="C916" s="1" t="s">
        <v>416</v>
      </c>
      <c r="D916" s="1" t="str">
        <f>IFERROR(VLOOKUP(A916,'MLR Data'!$A$2:$D$706,4,0),"")</f>
        <v/>
      </c>
      <c r="E916" s="5" t="s">
        <v>15</v>
      </c>
    </row>
    <row r="917" spans="1:5" x14ac:dyDescent="0.3">
      <c r="A917" t="str">
        <f t="shared" si="14"/>
        <v>MS WellCare</v>
      </c>
      <c r="B917" s="1" t="s">
        <v>626</v>
      </c>
      <c r="C917" s="1" t="s">
        <v>381</v>
      </c>
      <c r="D917" s="1" t="str">
        <f>IFERROR(VLOOKUP(A917,'MLR Data'!$A$2:$D$706,4,0),"")</f>
        <v/>
      </c>
      <c r="E917" s="3" t="s">
        <v>853</v>
      </c>
    </row>
    <row r="918" spans="1:5" x14ac:dyDescent="0.3">
      <c r="A918" t="str">
        <f t="shared" si="14"/>
        <v>MT Advantra® Freedom</v>
      </c>
      <c r="B918" s="1" t="s">
        <v>628</v>
      </c>
      <c r="C918" s="1" t="s">
        <v>387</v>
      </c>
      <c r="D918" s="1" t="str">
        <f>IFERROR(VLOOKUP(A918,'MLR Data'!$A$2:$D$706,4,0),"")</f>
        <v/>
      </c>
      <c r="E918" s="5" t="s">
        <v>4</v>
      </c>
    </row>
    <row r="919" spans="1:5" x14ac:dyDescent="0.3">
      <c r="A919" t="str">
        <f t="shared" si="14"/>
        <v>NC Piedmont Health SeniorCare</v>
      </c>
      <c r="B919" s="1" t="s">
        <v>629</v>
      </c>
      <c r="C919" s="1" t="s">
        <v>630</v>
      </c>
      <c r="D919" s="1" t="str">
        <f>IFERROR(VLOOKUP(A919,'MLR Data'!$A$2:$D$706,4,0),"")</f>
        <v/>
      </c>
      <c r="E919" s="3" t="s">
        <v>853</v>
      </c>
    </row>
    <row r="920" spans="1:5" x14ac:dyDescent="0.3">
      <c r="A920" t="str">
        <f t="shared" si="14"/>
        <v>NC UnitedHealthcare</v>
      </c>
      <c r="B920" s="1" t="s">
        <v>629</v>
      </c>
      <c r="C920" s="1" t="s">
        <v>478</v>
      </c>
      <c r="D920" s="1" t="str">
        <f>IFERROR(VLOOKUP(A920,'MLR Data'!$A$2:$D$706,4,0),"")</f>
        <v/>
      </c>
      <c r="E920" s="5" t="s">
        <v>239</v>
      </c>
    </row>
    <row r="921" spans="1:5" x14ac:dyDescent="0.3">
      <c r="A921" t="str">
        <f t="shared" si="14"/>
        <v>NC Today's Options</v>
      </c>
      <c r="B921" s="1" t="s">
        <v>629</v>
      </c>
      <c r="C921" s="1" t="s">
        <v>431</v>
      </c>
      <c r="D921" s="1" t="str">
        <f>IFERROR(VLOOKUP(A921,'MLR Data'!$A$2:$D$706,4,0),"")</f>
        <v/>
      </c>
      <c r="E921" s="5" t="s">
        <v>15</v>
      </c>
    </row>
    <row r="922" spans="1:5" x14ac:dyDescent="0.3">
      <c r="A922" t="str">
        <f t="shared" si="14"/>
        <v>NC Elderhaus PACE</v>
      </c>
      <c r="B922" s="1" t="s">
        <v>629</v>
      </c>
      <c r="C922" s="1" t="s">
        <v>636</v>
      </c>
      <c r="D922" s="1" t="str">
        <f>IFERROR(VLOOKUP(A922,'MLR Data'!$A$2:$D$706,4,0),"")</f>
        <v/>
      </c>
      <c r="E922" s="3" t="s">
        <v>853</v>
      </c>
    </row>
    <row r="923" spans="1:5" x14ac:dyDescent="0.3">
      <c r="A923" t="str">
        <f t="shared" si="14"/>
        <v>NC Sterling Life Insurance Company</v>
      </c>
      <c r="B923" s="1" t="s">
        <v>629</v>
      </c>
      <c r="C923" s="1" t="s">
        <v>391</v>
      </c>
      <c r="D923" s="1" t="str">
        <f>IFERROR(VLOOKUP(A923,'MLR Data'!$A$2:$D$706,4,0),"")</f>
        <v/>
      </c>
      <c r="E923" s="3" t="s">
        <v>853</v>
      </c>
    </row>
    <row r="924" spans="1:5" x14ac:dyDescent="0.3">
      <c r="A924" t="str">
        <f t="shared" si="14"/>
        <v>NE Universal American Corp.</v>
      </c>
      <c r="B924" s="1" t="s">
        <v>638</v>
      </c>
      <c r="C924" s="1" t="s">
        <v>383</v>
      </c>
      <c r="D924" s="1" t="str">
        <f>IFERROR(VLOOKUP(A924,'MLR Data'!$A$2:$D$706,4,0),"")</f>
        <v/>
      </c>
      <c r="E924" s="3" t="s">
        <v>853</v>
      </c>
    </row>
    <row r="925" spans="1:5" x14ac:dyDescent="0.3">
      <c r="A925" t="str">
        <f t="shared" si="14"/>
        <v>NH Aetna Medicare</v>
      </c>
      <c r="B925" s="1" t="s">
        <v>640</v>
      </c>
      <c r="C925" s="1" t="s">
        <v>407</v>
      </c>
      <c r="D925" s="1" t="s">
        <v>4</v>
      </c>
      <c r="E925" s="3" t="s">
        <v>853</v>
      </c>
    </row>
    <row r="926" spans="1:5" x14ac:dyDescent="0.3">
      <c r="A926" t="str">
        <f t="shared" si="14"/>
        <v>NJ LIFE at Lourdes</v>
      </c>
      <c r="B926" s="1" t="s">
        <v>641</v>
      </c>
      <c r="C926" s="1" t="s">
        <v>644</v>
      </c>
      <c r="D926" s="1" t="str">
        <f>IFERROR(VLOOKUP(A926,'MLR Data'!$A$2:$D$706,4,0),"")</f>
        <v/>
      </c>
      <c r="E926" s="3" t="s">
        <v>853</v>
      </c>
    </row>
    <row r="927" spans="1:5" x14ac:dyDescent="0.3">
      <c r="A927" t="str">
        <f t="shared" si="14"/>
        <v>NJ LIFE St. Francis</v>
      </c>
      <c r="B927" s="1" t="s">
        <v>641</v>
      </c>
      <c r="C927" s="1" t="s">
        <v>647</v>
      </c>
      <c r="D927" s="1" t="str">
        <f>IFERROR(VLOOKUP(A927,'MLR Data'!$A$2:$D$706,4,0),"")</f>
        <v/>
      </c>
      <c r="E927" s="3" t="s">
        <v>853</v>
      </c>
    </row>
    <row r="928" spans="1:5" x14ac:dyDescent="0.3">
      <c r="A928" t="str">
        <f t="shared" si="14"/>
        <v>NM Total Community Care</v>
      </c>
      <c r="B928" s="1" t="s">
        <v>649</v>
      </c>
      <c r="C928" s="1" t="s">
        <v>653</v>
      </c>
      <c r="D928" s="1" t="str">
        <f>IFERROR(VLOOKUP(A928,'MLR Data'!$A$2:$D$706,4,0),"")</f>
        <v/>
      </c>
      <c r="E928" s="3" t="s">
        <v>853</v>
      </c>
    </row>
    <row r="929" spans="1:5" x14ac:dyDescent="0.3">
      <c r="A929" t="str">
        <f t="shared" si="14"/>
        <v>NM Evercare® Health Plans</v>
      </c>
      <c r="B929" s="1" t="s">
        <v>649</v>
      </c>
      <c r="C929" s="1" t="s">
        <v>408</v>
      </c>
      <c r="D929" s="1" t="str">
        <f>IFERROR(VLOOKUP(A929,'MLR Data'!$A$2:$D$706,4,0),"")</f>
        <v/>
      </c>
      <c r="E929" s="5" t="s">
        <v>20</v>
      </c>
    </row>
    <row r="930" spans="1:5" x14ac:dyDescent="0.3">
      <c r="A930" t="str">
        <f t="shared" si="14"/>
        <v>NV Molina Healthcare of Nevada</v>
      </c>
      <c r="B930" s="1" t="s">
        <v>660</v>
      </c>
      <c r="C930" s="1" t="s">
        <v>662</v>
      </c>
      <c r="D930" s="1" t="str">
        <f>IFERROR(VLOOKUP(A930,'MLR Data'!$A$2:$D$706,4,0),"")</f>
        <v/>
      </c>
      <c r="E930" s="3" t="s">
        <v>853</v>
      </c>
    </row>
    <row r="931" spans="1:5" x14ac:dyDescent="0.3">
      <c r="A931" t="str">
        <f t="shared" si="14"/>
        <v>NV Universal Health Care of Nevada, Inc.</v>
      </c>
      <c r="B931" s="1" t="s">
        <v>660</v>
      </c>
      <c r="C931" s="1" t="s">
        <v>663</v>
      </c>
      <c r="D931" s="1" t="str">
        <f>IFERROR(VLOOKUP(A931,'MLR Data'!$A$2:$D$706,4,0),"")</f>
        <v/>
      </c>
      <c r="E931" s="3" t="s">
        <v>853</v>
      </c>
    </row>
    <row r="932" spans="1:5" x14ac:dyDescent="0.3">
      <c r="A932" t="str">
        <f t="shared" si="14"/>
        <v>NV Advantra® Freedom</v>
      </c>
      <c r="B932" s="1" t="s">
        <v>660</v>
      </c>
      <c r="C932" s="1" t="s">
        <v>387</v>
      </c>
      <c r="D932" s="1" t="str">
        <f>IFERROR(VLOOKUP(A932,'MLR Data'!$A$2:$D$706,4,0),"")</f>
        <v/>
      </c>
      <c r="E932" s="5" t="s">
        <v>26</v>
      </c>
    </row>
    <row r="933" spans="1:5" x14ac:dyDescent="0.3">
      <c r="A933" t="str">
        <f t="shared" si="14"/>
        <v>NV SecureHorizons MedicareDirect</v>
      </c>
      <c r="B933" s="1" t="s">
        <v>660</v>
      </c>
      <c r="C933" s="1" t="s">
        <v>390</v>
      </c>
      <c r="D933" s="1" t="str">
        <f>IFERROR(VLOOKUP(A933,'MLR Data'!$A$2:$D$706,4,0),"")</f>
        <v/>
      </c>
      <c r="E933" s="5" t="s">
        <v>20</v>
      </c>
    </row>
    <row r="934" spans="1:5" x14ac:dyDescent="0.3">
      <c r="A934" t="str">
        <f t="shared" si="14"/>
        <v>NY Unicare Life &amp; Health Ins. Company</v>
      </c>
      <c r="B934" s="1" t="s">
        <v>665</v>
      </c>
      <c r="C934" s="1" t="s">
        <v>415</v>
      </c>
      <c r="D934" s="1" t="str">
        <f>IFERROR(VLOOKUP(A934,'MLR Data'!$A$2:$D$706,4,0),"")</f>
        <v/>
      </c>
      <c r="E934" s="3" t="s">
        <v>853</v>
      </c>
    </row>
    <row r="935" spans="1:5" x14ac:dyDescent="0.3">
      <c r="A935" t="str">
        <f t="shared" si="14"/>
        <v>NY ArchCare Advantage,HMO</v>
      </c>
      <c r="B935" s="1" t="s">
        <v>665</v>
      </c>
      <c r="C935" s="1" t="s">
        <v>699</v>
      </c>
      <c r="D935" s="1" t="str">
        <f>IFERROR(VLOOKUP(A935,'MLR Data'!$A$2:$D$706,4,0),"")</f>
        <v/>
      </c>
      <c r="E935" s="3" t="s">
        <v>853</v>
      </c>
    </row>
    <row r="936" spans="1:5" x14ac:dyDescent="0.3">
      <c r="A936" t="str">
        <f t="shared" si="14"/>
        <v>NY SecureHorizons</v>
      </c>
      <c r="B936" s="1" t="s">
        <v>665</v>
      </c>
      <c r="C936" s="1" t="s">
        <v>374</v>
      </c>
      <c r="D936" s="1" t="str">
        <f>IFERROR(VLOOKUP(A936,'MLR Data'!$A$2:$D$706,4,0),"")</f>
        <v/>
      </c>
      <c r="E936" s="5" t="s">
        <v>236</v>
      </c>
    </row>
    <row r="937" spans="1:5" x14ac:dyDescent="0.3">
      <c r="A937" t="str">
        <f t="shared" si="14"/>
        <v>NY AMERIGROUP Community Care</v>
      </c>
      <c r="B937" s="1" t="s">
        <v>665</v>
      </c>
      <c r="C937" s="1" t="s">
        <v>514</v>
      </c>
      <c r="D937" s="1" t="str">
        <f>IFERROR(VLOOKUP(A937,'MLR Data'!$A$2:$D$706,4,0),"")</f>
        <v/>
      </c>
      <c r="E937" s="3" t="s">
        <v>853</v>
      </c>
    </row>
    <row r="938" spans="1:5" x14ac:dyDescent="0.3">
      <c r="A938" t="str">
        <f t="shared" si="14"/>
        <v>NY Independent Living For Seniors, Inc.</v>
      </c>
      <c r="B938" s="1" t="s">
        <v>665</v>
      </c>
      <c r="C938" s="1" t="s">
        <v>704</v>
      </c>
      <c r="D938" s="1" t="str">
        <f>IFERROR(VLOOKUP(A938,'MLR Data'!$A$2:$D$706,4,0),"")</f>
        <v/>
      </c>
      <c r="E938" s="3" t="s">
        <v>853</v>
      </c>
    </row>
    <row r="939" spans="1:5" x14ac:dyDescent="0.3">
      <c r="A939" t="str">
        <f t="shared" si="14"/>
        <v>NY ArchCare Senior Life</v>
      </c>
      <c r="B939" s="1" t="s">
        <v>665</v>
      </c>
      <c r="C939" s="1" t="s">
        <v>707</v>
      </c>
      <c r="D939" s="1" t="str">
        <f>IFERROR(VLOOKUP(A939,'MLR Data'!$A$2:$D$706,4,0),"")</f>
        <v/>
      </c>
      <c r="E939" s="3" t="s">
        <v>853</v>
      </c>
    </row>
    <row r="940" spans="1:5" x14ac:dyDescent="0.3">
      <c r="A940" t="str">
        <f t="shared" si="14"/>
        <v>NY Independent Living Srvcs Of Central Ny</v>
      </c>
      <c r="B940" s="1" t="s">
        <v>665</v>
      </c>
      <c r="C940" s="1" t="s">
        <v>708</v>
      </c>
      <c r="D940" s="1" t="str">
        <f>IFERROR(VLOOKUP(A940,'MLR Data'!$A$2:$D$706,4,0),"")</f>
        <v/>
      </c>
      <c r="E940" s="3" t="s">
        <v>853</v>
      </c>
    </row>
    <row r="941" spans="1:5" x14ac:dyDescent="0.3">
      <c r="A941" t="str">
        <f t="shared" si="14"/>
        <v>NY Amerigroup Community Care</v>
      </c>
      <c r="B941" s="1" t="s">
        <v>665</v>
      </c>
      <c r="C941" s="1" t="s">
        <v>521</v>
      </c>
      <c r="D941" s="1" t="str">
        <f>IFERROR(VLOOKUP(A941,'MLR Data'!$A$2:$D$706,4,0),"")</f>
        <v/>
      </c>
      <c r="E941" s="3" t="s">
        <v>853</v>
      </c>
    </row>
    <row r="942" spans="1:5" x14ac:dyDescent="0.3">
      <c r="A942" t="str">
        <f t="shared" si="14"/>
        <v>NY Senior Care Connection, Inc.</v>
      </c>
      <c r="B942" s="1" t="s">
        <v>665</v>
      </c>
      <c r="C942" s="1" t="s">
        <v>709</v>
      </c>
      <c r="D942" s="1" t="str">
        <f>IFERROR(VLOOKUP(A942,'MLR Data'!$A$2:$D$706,4,0),"")</f>
        <v/>
      </c>
      <c r="E942" s="3" t="s">
        <v>853</v>
      </c>
    </row>
    <row r="943" spans="1:5" x14ac:dyDescent="0.3">
      <c r="A943" t="str">
        <f t="shared" si="14"/>
        <v>OH Concordia Care</v>
      </c>
      <c r="B943" s="1" t="s">
        <v>710</v>
      </c>
      <c r="C943" s="1" t="s">
        <v>715</v>
      </c>
      <c r="D943" s="1" t="str">
        <f>IFERROR(VLOOKUP(A943,'MLR Data'!$A$2:$D$706,4,0),"")</f>
        <v/>
      </c>
      <c r="E943" s="3" t="s">
        <v>853</v>
      </c>
    </row>
    <row r="944" spans="1:5" x14ac:dyDescent="0.3">
      <c r="A944" t="str">
        <f t="shared" si="14"/>
        <v>OH CareSource</v>
      </c>
      <c r="B944" s="1" t="s">
        <v>710</v>
      </c>
      <c r="C944" s="1" t="s">
        <v>716</v>
      </c>
      <c r="D944" s="1" t="str">
        <f>IFERROR(VLOOKUP(A944,'MLR Data'!$A$2:$D$706,4,0),"")</f>
        <v/>
      </c>
      <c r="E944" s="3" t="s">
        <v>853</v>
      </c>
    </row>
    <row r="945" spans="1:5" x14ac:dyDescent="0.3">
      <c r="A945" t="str">
        <f t="shared" si="14"/>
        <v>OH Kaiser Permanente Medicare Plus</v>
      </c>
      <c r="B945" s="1" t="s">
        <v>710</v>
      </c>
      <c r="C945" s="1" t="s">
        <v>587</v>
      </c>
      <c r="D945" s="1" t="str">
        <f>IFERROR(VLOOKUP(A945,'MLR Data'!$A$2:$D$706,4,0),"")</f>
        <v/>
      </c>
      <c r="E945" s="5" t="s">
        <v>246</v>
      </c>
    </row>
    <row r="946" spans="1:5" x14ac:dyDescent="0.3">
      <c r="A946" t="str">
        <f t="shared" si="14"/>
        <v>OH TriHealth SeniorLink</v>
      </c>
      <c r="B946" s="1" t="s">
        <v>710</v>
      </c>
      <c r="C946" s="1" t="s">
        <v>720</v>
      </c>
      <c r="D946" s="1" t="str">
        <f>IFERROR(VLOOKUP(A946,'MLR Data'!$A$2:$D$706,4,0),"")</f>
        <v/>
      </c>
      <c r="E946" s="3" t="s">
        <v>853</v>
      </c>
    </row>
    <row r="947" spans="1:5" x14ac:dyDescent="0.3">
      <c r="A947" t="str">
        <f t="shared" si="14"/>
        <v>OR Advantra® Freedom</v>
      </c>
      <c r="B947" s="1" t="s">
        <v>728</v>
      </c>
      <c r="C947" s="1" t="s">
        <v>387</v>
      </c>
      <c r="D947" s="1" t="str">
        <f>IFERROR(VLOOKUP(A947,'MLR Data'!$A$2:$D$706,4,0),"")</f>
        <v/>
      </c>
      <c r="E947" s="5" t="s">
        <v>4</v>
      </c>
    </row>
    <row r="948" spans="1:5" x14ac:dyDescent="0.3">
      <c r="A948" t="str">
        <f t="shared" si="14"/>
        <v>OR Humana Medical Plan, Inc.</v>
      </c>
      <c r="B948" s="1" t="s">
        <v>728</v>
      </c>
      <c r="C948" s="1" t="s">
        <v>86</v>
      </c>
      <c r="D948" s="1" t="str">
        <f>IFERROR(VLOOKUP(A948,'MLR Data'!$A$2:$D$706,4,0),"")</f>
        <v>Humana Medical Plan, Inc.</v>
      </c>
      <c r="E948" s="3" t="s">
        <v>86</v>
      </c>
    </row>
    <row r="949" spans="1:5" x14ac:dyDescent="0.3">
      <c r="A949" t="str">
        <f t="shared" si="14"/>
        <v>PA Community LIFE</v>
      </c>
      <c r="B949" s="1" t="s">
        <v>744</v>
      </c>
      <c r="C949" s="1" t="s">
        <v>749</v>
      </c>
      <c r="D949" s="1" t="str">
        <f>IFERROR(VLOOKUP(A949,'MLR Data'!$A$2:$D$706,4,0),"")</f>
        <v/>
      </c>
      <c r="E949" s="3" t="s">
        <v>853</v>
      </c>
    </row>
    <row r="950" spans="1:5" x14ac:dyDescent="0.3">
      <c r="A950" t="str">
        <f t="shared" si="14"/>
        <v>PA LIFE Pittsburgh</v>
      </c>
      <c r="B950" s="1" t="s">
        <v>744</v>
      </c>
      <c r="C950" s="1" t="s">
        <v>750</v>
      </c>
      <c r="D950" s="1" t="str">
        <f>IFERROR(VLOOKUP(A950,'MLR Data'!$A$2:$D$706,4,0),"")</f>
        <v/>
      </c>
      <c r="E950" s="3" t="s">
        <v>853</v>
      </c>
    </row>
    <row r="951" spans="1:5" x14ac:dyDescent="0.3">
      <c r="A951" t="str">
        <f t="shared" si="14"/>
        <v>PA LIFE Beaver and Lawrence Counties</v>
      </c>
      <c r="B951" s="1" t="s">
        <v>744</v>
      </c>
      <c r="C951" s="1" t="s">
        <v>753</v>
      </c>
      <c r="D951" s="1" t="str">
        <f>IFERROR(VLOOKUP(A951,'MLR Data'!$A$2:$D$706,4,0),"")</f>
        <v/>
      </c>
      <c r="E951" s="3" t="s">
        <v>853</v>
      </c>
    </row>
    <row r="952" spans="1:5" x14ac:dyDescent="0.3">
      <c r="A952" t="str">
        <f t="shared" si="14"/>
        <v>PA LIFE St. Mary</v>
      </c>
      <c r="B952" s="1" t="s">
        <v>744</v>
      </c>
      <c r="C952" s="1" t="s">
        <v>758</v>
      </c>
      <c r="D952" s="1" t="str">
        <f>IFERROR(VLOOKUP(A952,'MLR Data'!$A$2:$D$706,4,0),"")</f>
        <v/>
      </c>
      <c r="E952" s="3" t="s">
        <v>853</v>
      </c>
    </row>
    <row r="953" spans="1:5" x14ac:dyDescent="0.3">
      <c r="A953" t="str">
        <f t="shared" si="14"/>
        <v>PA Senior LIFE Johnstown</v>
      </c>
      <c r="B953" s="1" t="s">
        <v>744</v>
      </c>
      <c r="C953" s="1" t="s">
        <v>762</v>
      </c>
      <c r="D953" s="1" t="str">
        <f>IFERROR(VLOOKUP(A953,'MLR Data'!$A$2:$D$706,4,0),"")</f>
        <v/>
      </c>
      <c r="E953" s="3" t="s">
        <v>853</v>
      </c>
    </row>
    <row r="954" spans="1:5" x14ac:dyDescent="0.3">
      <c r="A954" t="str">
        <f t="shared" si="14"/>
        <v>PA Life at Home, LLC</v>
      </c>
      <c r="B954" s="1" t="s">
        <v>744</v>
      </c>
      <c r="C954" s="1" t="s">
        <v>766</v>
      </c>
      <c r="D954" s="1" t="str">
        <f>IFERROR(VLOOKUP(A954,'MLR Data'!$A$2:$D$706,4,0),"")</f>
        <v/>
      </c>
      <c r="E954" s="3" t="s">
        <v>853</v>
      </c>
    </row>
    <row r="955" spans="1:5" x14ac:dyDescent="0.3">
      <c r="A955" t="str">
        <f t="shared" si="14"/>
        <v>PA LIFE Geisinger</v>
      </c>
      <c r="B955" s="1" t="s">
        <v>744</v>
      </c>
      <c r="C955" s="1" t="s">
        <v>768</v>
      </c>
      <c r="D955" s="1" t="str">
        <f>IFERROR(VLOOKUP(A955,'MLR Data'!$A$2:$D$706,4,0),"")</f>
        <v/>
      </c>
      <c r="E955" s="5" t="s">
        <v>270</v>
      </c>
    </row>
    <row r="956" spans="1:5" x14ac:dyDescent="0.3">
      <c r="A956" t="str">
        <f t="shared" si="14"/>
        <v>PA Universal Health Care Insurance Company, Inc.</v>
      </c>
      <c r="B956" s="1" t="s">
        <v>744</v>
      </c>
      <c r="C956" s="1" t="s">
        <v>405</v>
      </c>
      <c r="D956" s="1" t="str">
        <f>IFERROR(VLOOKUP(A956,'MLR Data'!$A$2:$D$706,4,0),"")</f>
        <v/>
      </c>
      <c r="E956" s="3" t="s">
        <v>853</v>
      </c>
    </row>
    <row r="957" spans="1:5" x14ac:dyDescent="0.3">
      <c r="A957" t="str">
        <f t="shared" si="14"/>
        <v>PA Trustees Of The University Of Pennsylvania</v>
      </c>
      <c r="B957" s="1" t="s">
        <v>744</v>
      </c>
      <c r="C957" s="1" t="s">
        <v>769</v>
      </c>
      <c r="D957" s="1" t="str">
        <f>IFERROR(VLOOKUP(A957,'MLR Data'!$A$2:$D$706,4,0),"")</f>
        <v/>
      </c>
      <c r="E957" s="3" t="s">
        <v>853</v>
      </c>
    </row>
    <row r="958" spans="1:5" x14ac:dyDescent="0.3">
      <c r="A958" t="str">
        <f t="shared" si="14"/>
        <v>PA Mercy LIFE</v>
      </c>
      <c r="B958" s="1" t="s">
        <v>744</v>
      </c>
      <c r="C958" s="1" t="s">
        <v>770</v>
      </c>
      <c r="D958" s="1" t="str">
        <f>IFERROR(VLOOKUP(A958,'MLR Data'!$A$2:$D$706,4,0),"")</f>
        <v/>
      </c>
      <c r="E958" s="3" t="s">
        <v>853</v>
      </c>
    </row>
    <row r="959" spans="1:5" x14ac:dyDescent="0.3">
      <c r="A959" t="str">
        <f t="shared" si="14"/>
        <v>PA NewCourtland LIFE Program</v>
      </c>
      <c r="B959" s="1" t="s">
        <v>744</v>
      </c>
      <c r="C959" s="1" t="s">
        <v>771</v>
      </c>
      <c r="D959" s="1" t="str">
        <f>IFERROR(VLOOKUP(A959,'MLR Data'!$A$2:$D$706,4,0),"")</f>
        <v/>
      </c>
      <c r="E959" s="3" t="s">
        <v>853</v>
      </c>
    </row>
    <row r="960" spans="1:5" x14ac:dyDescent="0.3">
      <c r="A960" t="str">
        <f t="shared" si="14"/>
        <v>RI Pace Organization Of Rhode Island</v>
      </c>
      <c r="B960" s="1" t="s">
        <v>772</v>
      </c>
      <c r="C960" s="1" t="s">
        <v>774</v>
      </c>
      <c r="D960" s="1" t="str">
        <f>IFERROR(VLOOKUP(A960,'MLR Data'!$A$2:$D$706,4,0),"")</f>
        <v/>
      </c>
      <c r="E960" s="3" t="s">
        <v>853</v>
      </c>
    </row>
    <row r="961" spans="1:5" x14ac:dyDescent="0.3">
      <c r="A961" t="str">
        <f t="shared" si="14"/>
        <v>RI Advantra® Freedom</v>
      </c>
      <c r="B961" s="1" t="s">
        <v>772</v>
      </c>
      <c r="C961" s="1" t="s">
        <v>387</v>
      </c>
      <c r="D961" s="1" t="str">
        <f>IFERROR(VLOOKUP(A961,'MLR Data'!$A$2:$D$706,4,0),"")</f>
        <v/>
      </c>
      <c r="E961" s="5" t="s">
        <v>4</v>
      </c>
    </row>
    <row r="962" spans="1:5" x14ac:dyDescent="0.3">
      <c r="A962" t="str">
        <f t="shared" ref="A962:A994" si="15">B962&amp;" "&amp;C962</f>
        <v>SC The Methodist Oaks d.b.a. The Oaks PACE</v>
      </c>
      <c r="B962" s="1" t="s">
        <v>775</v>
      </c>
      <c r="C962" s="1" t="s">
        <v>782</v>
      </c>
      <c r="D962" s="1" t="str">
        <f>IFERROR(VLOOKUP(A962,'MLR Data'!$A$2:$D$706,4,0),"")</f>
        <v/>
      </c>
      <c r="E962" s="3" t="s">
        <v>853</v>
      </c>
    </row>
    <row r="963" spans="1:5" x14ac:dyDescent="0.3">
      <c r="A963" t="str">
        <f t="shared" si="15"/>
        <v>SC Today's Option</v>
      </c>
      <c r="B963" s="1" t="s">
        <v>775</v>
      </c>
      <c r="C963" s="1" t="s">
        <v>416</v>
      </c>
      <c r="D963" s="1" t="str">
        <f>IFERROR(VLOOKUP(A963,'MLR Data'!$A$2:$D$706,4,0),"")</f>
        <v/>
      </c>
      <c r="E963" s="5" t="s">
        <v>13</v>
      </c>
    </row>
    <row r="964" spans="1:5" x14ac:dyDescent="0.3">
      <c r="A964" t="str">
        <f t="shared" si="15"/>
        <v>SD Coventry Health and Life Insurance Company</v>
      </c>
      <c r="B964" s="1" t="s">
        <v>783</v>
      </c>
      <c r="C964" s="1" t="s">
        <v>537</v>
      </c>
      <c r="D964" s="1" t="str">
        <f>IFERROR(VLOOKUP(A964,'MLR Data'!$A$2:$D$706,4,0),"")</f>
        <v/>
      </c>
      <c r="E964" s="5" t="s">
        <v>35</v>
      </c>
    </row>
    <row r="965" spans="1:5" x14ac:dyDescent="0.3">
      <c r="A965" t="str">
        <f t="shared" si="15"/>
        <v>TN Evercare® Health Plans</v>
      </c>
      <c r="B965" s="1" t="s">
        <v>784</v>
      </c>
      <c r="C965" s="1" t="s">
        <v>408</v>
      </c>
      <c r="D965" s="1" t="str">
        <f>IFERROR(VLOOKUP(A965,'MLR Data'!$A$2:$D$706,4,0),"")</f>
        <v/>
      </c>
      <c r="E965" s="5" t="s">
        <v>20</v>
      </c>
    </row>
    <row r="966" spans="1:5" x14ac:dyDescent="0.3">
      <c r="A966" t="str">
        <f t="shared" si="15"/>
        <v>TN Amerigroup Community Care</v>
      </c>
      <c r="B966" s="1" t="s">
        <v>784</v>
      </c>
      <c r="C966" s="1" t="s">
        <v>521</v>
      </c>
      <c r="D966" s="1" t="str">
        <f>IFERROR(VLOOKUP(A966,'MLR Data'!$A$2:$D$706,4,0),"")</f>
        <v/>
      </c>
      <c r="E966" s="3" t="s">
        <v>853</v>
      </c>
    </row>
    <row r="967" spans="1:5" x14ac:dyDescent="0.3">
      <c r="A967" t="str">
        <f t="shared" si="15"/>
        <v>TN Alexian Brothers Community Services</v>
      </c>
      <c r="B967" s="1" t="s">
        <v>784</v>
      </c>
      <c r="C967" s="1" t="s">
        <v>625</v>
      </c>
      <c r="D967" s="1" t="str">
        <f>IFERROR(VLOOKUP(A967,'MLR Data'!$A$2:$D$706,4,0),"")</f>
        <v/>
      </c>
      <c r="E967" s="3" t="s">
        <v>853</v>
      </c>
    </row>
    <row r="968" spans="1:5" x14ac:dyDescent="0.3">
      <c r="A968" t="str">
        <f t="shared" si="15"/>
        <v>TN Unicare Life &amp; Health Ins. Company</v>
      </c>
      <c r="B968" s="1" t="s">
        <v>784</v>
      </c>
      <c r="C968" s="1" t="s">
        <v>415</v>
      </c>
      <c r="D968" s="1" t="str">
        <f>IFERROR(VLOOKUP(A968,'MLR Data'!$A$2:$D$706,4,0),"")</f>
        <v/>
      </c>
      <c r="E968" s="5" t="s">
        <v>16</v>
      </c>
    </row>
    <row r="969" spans="1:5" x14ac:dyDescent="0.3">
      <c r="A969" t="str">
        <f t="shared" si="15"/>
        <v>TN UAHC Gold</v>
      </c>
      <c r="B969" s="1" t="s">
        <v>784</v>
      </c>
      <c r="C969" s="1" t="s">
        <v>790</v>
      </c>
      <c r="D969" s="1" t="str">
        <f>IFERROR(VLOOKUP(A969,'MLR Data'!$A$2:$D$706,4,0),"")</f>
        <v/>
      </c>
      <c r="E969" s="3" t="s">
        <v>853</v>
      </c>
    </row>
    <row r="970" spans="1:5" x14ac:dyDescent="0.3">
      <c r="A970" t="str">
        <f t="shared" si="15"/>
        <v>TN Universal American</v>
      </c>
      <c r="B970" s="1" t="s">
        <v>784</v>
      </c>
      <c r="C970" s="1" t="s">
        <v>384</v>
      </c>
      <c r="D970" s="1" t="str">
        <f>IFERROR(VLOOKUP(A970,'MLR Data'!$A$2:$D$706,4,0),"")</f>
        <v/>
      </c>
      <c r="E970" s="3" t="s">
        <v>853</v>
      </c>
    </row>
    <row r="971" spans="1:5" x14ac:dyDescent="0.3">
      <c r="A971" t="str">
        <f t="shared" si="15"/>
        <v>TX Advantage by Superior HealthPlan</v>
      </c>
      <c r="B971" s="1" t="s">
        <v>791</v>
      </c>
      <c r="C971" s="1" t="s">
        <v>796</v>
      </c>
      <c r="D971" s="1" t="str">
        <f>IFERROR(VLOOKUP(A971,'MLR Data'!$A$2:$D$706,4,0),"")</f>
        <v/>
      </c>
      <c r="E971" s="3" t="s">
        <v>853</v>
      </c>
    </row>
    <row r="972" spans="1:5" x14ac:dyDescent="0.3">
      <c r="A972" t="str">
        <f t="shared" si="15"/>
        <v>TX Molina Healthcare of Texas, Inc.</v>
      </c>
      <c r="B972" s="1" t="s">
        <v>791</v>
      </c>
      <c r="C972" s="1" t="s">
        <v>797</v>
      </c>
      <c r="D972" s="1" t="str">
        <f>IFERROR(VLOOKUP(A972,'MLR Data'!$A$2:$D$706,4,0),"")</f>
        <v/>
      </c>
      <c r="E972" s="3" t="s">
        <v>853</v>
      </c>
    </row>
    <row r="973" spans="1:5" x14ac:dyDescent="0.3">
      <c r="A973" t="str">
        <f t="shared" si="15"/>
        <v>TX Bienvivir Senior Health Services</v>
      </c>
      <c r="B973" s="1" t="s">
        <v>791</v>
      </c>
      <c r="C973" s="1" t="s">
        <v>804</v>
      </c>
      <c r="D973" s="1" t="str">
        <f>IFERROR(VLOOKUP(A973,'MLR Data'!$A$2:$D$706,4,0),"")</f>
        <v/>
      </c>
      <c r="E973" s="3" t="s">
        <v>853</v>
      </c>
    </row>
    <row r="974" spans="1:5" x14ac:dyDescent="0.3">
      <c r="A974" t="str">
        <f t="shared" si="15"/>
        <v>TX Fidelis SecureCare of Texas, Inc.</v>
      </c>
      <c r="B974" s="1" t="s">
        <v>791</v>
      </c>
      <c r="C974" s="1" t="s">
        <v>809</v>
      </c>
      <c r="D974" s="1" t="str">
        <f>IFERROR(VLOOKUP(A974,'MLR Data'!$A$2:$D$706,4,0),"")</f>
        <v/>
      </c>
      <c r="E974" s="3" t="s">
        <v>853</v>
      </c>
    </row>
    <row r="975" spans="1:5" x14ac:dyDescent="0.3">
      <c r="A975" t="str">
        <f t="shared" si="15"/>
        <v>TX Amarillo Multisvc Ctr For The Aging Inc</v>
      </c>
      <c r="B975" s="1" t="s">
        <v>791</v>
      </c>
      <c r="C975" s="1" t="s">
        <v>810</v>
      </c>
      <c r="D975" s="1" t="str">
        <f>IFERROR(VLOOKUP(A975,'MLR Data'!$A$2:$D$706,4,0),"")</f>
        <v/>
      </c>
      <c r="E975" s="3" t="s">
        <v>853</v>
      </c>
    </row>
    <row r="976" spans="1:5" x14ac:dyDescent="0.3">
      <c r="A976" t="str">
        <f t="shared" si="15"/>
        <v>TX HealthSpring Medicare Advantage</v>
      </c>
      <c r="B976" s="1" t="s">
        <v>791</v>
      </c>
      <c r="C976" s="1" t="s">
        <v>811</v>
      </c>
      <c r="D976" s="1" t="str">
        <f>IFERROR(VLOOKUP(A976,'MLR Data'!$A$2:$D$706,4,0),"")</f>
        <v/>
      </c>
      <c r="E976" s="3" t="s">
        <v>853</v>
      </c>
    </row>
    <row r="977" spans="1:5" x14ac:dyDescent="0.3">
      <c r="A977" t="str">
        <f t="shared" si="15"/>
        <v>TX Health Net</v>
      </c>
      <c r="B977" s="1" t="s">
        <v>791</v>
      </c>
      <c r="C977" s="1" t="s">
        <v>461</v>
      </c>
      <c r="D977" s="1" t="str">
        <f>IFERROR(VLOOKUP(A977,'MLR Data'!$A$2:$D$706,4,0),"")</f>
        <v/>
      </c>
      <c r="E977" s="3" t="s">
        <v>853</v>
      </c>
    </row>
    <row r="978" spans="1:5" x14ac:dyDescent="0.3">
      <c r="A978" t="str">
        <f t="shared" si="15"/>
        <v>VA Evercare® by UnitedHealthcare</v>
      </c>
      <c r="B978" s="1" t="s">
        <v>819</v>
      </c>
      <c r="C978" s="1" t="s">
        <v>396</v>
      </c>
      <c r="D978" s="1" t="str">
        <f>IFERROR(VLOOKUP(A978,'MLR Data'!$A$2:$D$706,4,0),"")</f>
        <v/>
      </c>
      <c r="E978" s="5" t="s">
        <v>20</v>
      </c>
    </row>
    <row r="979" spans="1:5" x14ac:dyDescent="0.3">
      <c r="A979" t="str">
        <f t="shared" si="15"/>
        <v>VA United HealthCare Insurance Company</v>
      </c>
      <c r="B979" s="1" t="s">
        <v>819</v>
      </c>
      <c r="C979" s="1" t="s">
        <v>575</v>
      </c>
      <c r="D979" s="1" t="str">
        <f>IFERROR(VLOOKUP(A979,'MLR Data'!$A$2:$D$706,4,0),"")</f>
        <v/>
      </c>
      <c r="E979" s="5" t="s">
        <v>20</v>
      </c>
    </row>
    <row r="980" spans="1:5" x14ac:dyDescent="0.3">
      <c r="A980" t="str">
        <f t="shared" si="15"/>
        <v>VA Advantra</v>
      </c>
      <c r="B980" s="1" t="s">
        <v>819</v>
      </c>
      <c r="C980" s="1" t="s">
        <v>527</v>
      </c>
      <c r="D980" s="1" t="str">
        <f>IFERROR(VLOOKUP(A980,'MLR Data'!$A$2:$D$706,4,0),"")</f>
        <v/>
      </c>
      <c r="E980" s="5" t="s">
        <v>26</v>
      </c>
    </row>
    <row r="981" spans="1:5" x14ac:dyDescent="0.3">
      <c r="A981" t="str">
        <f t="shared" si="15"/>
        <v>WA Regence BlueCross BlueShield of Oregon</v>
      </c>
      <c r="B981" s="1" t="s">
        <v>824</v>
      </c>
      <c r="C981" s="1" t="s">
        <v>264</v>
      </c>
      <c r="D981" s="1" t="str">
        <f>IFERROR(VLOOKUP(A981,'MLR Data'!$A$2:$D$706,4,0),"")</f>
        <v>Regence BlueCross BlueShield of Oregon</v>
      </c>
      <c r="E981" s="3" t="s">
        <v>264</v>
      </c>
    </row>
    <row r="982" spans="1:5" x14ac:dyDescent="0.3">
      <c r="A982" t="str">
        <f t="shared" si="15"/>
        <v>WA Health Net Medicare Advantage</v>
      </c>
      <c r="B982" s="1" t="s">
        <v>824</v>
      </c>
      <c r="C982" s="1" t="s">
        <v>734</v>
      </c>
      <c r="D982" s="1" t="str">
        <f>IFERROR(VLOOKUP(A982,'MLR Data'!$A$2:$D$706,4,0),"")</f>
        <v/>
      </c>
      <c r="E982" s="5" t="s">
        <v>28</v>
      </c>
    </row>
    <row r="983" spans="1:5" x14ac:dyDescent="0.3">
      <c r="A983" t="str">
        <f t="shared" si="15"/>
        <v>WA Aetna Medicare</v>
      </c>
      <c r="B983" s="1" t="s">
        <v>824</v>
      </c>
      <c r="C983" s="1" t="s">
        <v>407</v>
      </c>
      <c r="D983" s="1" t="str">
        <f>IFERROR(VLOOKUP(A983,'MLR Data'!$A$2:$D$706,4,0),"")</f>
        <v/>
      </c>
      <c r="E983" s="5" t="s">
        <v>4</v>
      </c>
    </row>
    <row r="984" spans="1:5" x14ac:dyDescent="0.3">
      <c r="A984" t="str">
        <f t="shared" si="15"/>
        <v>WA Regence BlueCross BlueShield Of Oregon</v>
      </c>
      <c r="B984" s="1" t="s">
        <v>824</v>
      </c>
      <c r="C984" s="1" t="s">
        <v>735</v>
      </c>
      <c r="D984" s="1" t="str">
        <f>IFERROR(VLOOKUP(A984,'MLR Data'!$A$2:$D$706,4,0),"")</f>
        <v>Regence BlueCross BlueShield of Oregon</v>
      </c>
      <c r="E984" s="3" t="s">
        <v>264</v>
      </c>
    </row>
    <row r="985" spans="1:5" x14ac:dyDescent="0.3">
      <c r="A985" t="str">
        <f t="shared" si="15"/>
        <v>WA Providence Health System</v>
      </c>
      <c r="B985" s="1" t="s">
        <v>824</v>
      </c>
      <c r="C985" s="1" t="s">
        <v>827</v>
      </c>
      <c r="D985" s="1" t="str">
        <f>IFERROR(VLOOKUP(A985,'MLR Data'!$A$2:$D$706,4,0),"")</f>
        <v/>
      </c>
      <c r="E985" s="5" t="s">
        <v>263</v>
      </c>
    </row>
    <row r="986" spans="1:5" x14ac:dyDescent="0.3">
      <c r="A986" t="str">
        <f t="shared" si="15"/>
        <v>WA UnitedHealthcare</v>
      </c>
      <c r="B986" s="1" t="s">
        <v>824</v>
      </c>
      <c r="C986" s="1" t="s">
        <v>478</v>
      </c>
      <c r="D986" s="1" t="str">
        <f>IFERROR(VLOOKUP(A986,'MLR Data'!$A$2:$D$706,4,0),"")</f>
        <v/>
      </c>
      <c r="E986" s="5" t="s">
        <v>339</v>
      </c>
    </row>
    <row r="987" spans="1:5" x14ac:dyDescent="0.3">
      <c r="A987" t="str">
        <f t="shared" si="15"/>
        <v>WI Care Wisconsin Health Plan, Inc.</v>
      </c>
      <c r="B987" s="1" t="s">
        <v>830</v>
      </c>
      <c r="C987" s="1" t="s">
        <v>834</v>
      </c>
      <c r="D987" s="1" t="str">
        <f>IFERROR(VLOOKUP(A987,'MLR Data'!$A$2:$D$706,4,0),"")</f>
        <v/>
      </c>
      <c r="E987" s="3" t="s">
        <v>853</v>
      </c>
    </row>
    <row r="988" spans="1:5" x14ac:dyDescent="0.3">
      <c r="A988" t="str">
        <f t="shared" si="15"/>
        <v>WI iCare</v>
      </c>
      <c r="B988" s="1" t="s">
        <v>830</v>
      </c>
      <c r="C988" s="1" t="s">
        <v>836</v>
      </c>
      <c r="D988" s="1" t="str">
        <f>IFERROR(VLOOKUP(A988,'MLR Data'!$A$2:$D$706,4,0),"")</f>
        <v/>
      </c>
      <c r="E988" s="3" t="s">
        <v>853</v>
      </c>
    </row>
    <row r="989" spans="1:5" x14ac:dyDescent="0.3">
      <c r="A989" t="str">
        <f t="shared" si="15"/>
        <v>WI UnitedHealthcare Personal Care Plus</v>
      </c>
      <c r="B989" s="1" t="s">
        <v>830</v>
      </c>
      <c r="C989" s="1" t="s">
        <v>837</v>
      </c>
      <c r="D989" s="1" t="str">
        <f>IFERROR(VLOOKUP(A989,'MLR Data'!$A$2:$D$706,4,0),"")</f>
        <v/>
      </c>
      <c r="E989" s="5" t="s">
        <v>20</v>
      </c>
    </row>
    <row r="990" spans="1:5" x14ac:dyDescent="0.3">
      <c r="A990" t="str">
        <f t="shared" si="15"/>
        <v>WI Today's Option</v>
      </c>
      <c r="B990" s="1" t="s">
        <v>830</v>
      </c>
      <c r="C990" s="1" t="s">
        <v>416</v>
      </c>
      <c r="D990" s="1" t="str">
        <f>IFERROR(VLOOKUP(A990,'MLR Data'!$A$2:$D$706,4,0),"")</f>
        <v/>
      </c>
      <c r="E990" s="5" t="s">
        <v>15</v>
      </c>
    </row>
    <row r="991" spans="1:5" x14ac:dyDescent="0.3">
      <c r="A991" t="str">
        <f t="shared" si="15"/>
        <v>WV Carelink Advantra PPO</v>
      </c>
      <c r="B991" s="1" t="s">
        <v>839</v>
      </c>
      <c r="C991" s="1" t="s">
        <v>721</v>
      </c>
      <c r="D991" s="1" t="str">
        <f>IFERROR(VLOOKUP(A991,'MLR Data'!$A$2:$D$706,4,0),"")</f>
        <v/>
      </c>
      <c r="E991" s="5" t="s">
        <v>341</v>
      </c>
    </row>
    <row r="992" spans="1:5" x14ac:dyDescent="0.3">
      <c r="A992" t="str">
        <f t="shared" si="15"/>
        <v>WV WellCare</v>
      </c>
      <c r="B992" s="1" t="s">
        <v>839</v>
      </c>
      <c r="C992" s="1" t="s">
        <v>381</v>
      </c>
      <c r="D992" s="1" t="str">
        <f>IFERROR(VLOOKUP(A992,'MLR Data'!$A$2:$D$706,4,0),"")</f>
        <v/>
      </c>
      <c r="E992" s="3" t="s">
        <v>853</v>
      </c>
    </row>
    <row r="993" spans="1:5" x14ac:dyDescent="0.3">
      <c r="A993" t="str">
        <f t="shared" si="15"/>
        <v>WV CIGNA Medicare Access</v>
      </c>
      <c r="B993" s="1" t="s">
        <v>839</v>
      </c>
      <c r="C993" s="1" t="s">
        <v>429</v>
      </c>
      <c r="D993" s="1" t="str">
        <f>IFERROR(VLOOKUP(A993,'MLR Data'!$A$2:$D$706,4,0),"")</f>
        <v/>
      </c>
      <c r="E993" s="5" t="s">
        <v>9</v>
      </c>
    </row>
    <row r="994" spans="1:5" x14ac:dyDescent="0.3">
      <c r="A994" t="str">
        <f t="shared" si="15"/>
        <v>WY Altius Health Plans</v>
      </c>
      <c r="B994" s="1" t="s">
        <v>842</v>
      </c>
      <c r="C994" s="1" t="s">
        <v>814</v>
      </c>
      <c r="D994" s="1" t="str">
        <f>IFERROR(VLOOKUP(A994,'MLR Data'!$A$2:$D$706,4,0),"")</f>
        <v/>
      </c>
      <c r="E994" s="5" t="s">
        <v>318</v>
      </c>
    </row>
    <row r="995" spans="1:5" x14ac:dyDescent="0.3">
      <c r="A995" s="3" t="s">
        <v>871</v>
      </c>
      <c r="B995" s="3" t="s">
        <v>418</v>
      </c>
      <c r="C995" s="3" t="s">
        <v>478</v>
      </c>
      <c r="D995" s="1" t="str">
        <f>IFERROR(VLOOKUP(A995,'MLR Data'!$A$2:$D$706,4,0),"")</f>
        <v/>
      </c>
      <c r="E995" s="5" t="s">
        <v>20</v>
      </c>
    </row>
    <row r="996" spans="1:5" x14ac:dyDescent="0.3">
      <c r="A996" s="3" t="s">
        <v>872</v>
      </c>
      <c r="B996" s="3" t="s">
        <v>464</v>
      </c>
      <c r="C996" s="3" t="s">
        <v>423</v>
      </c>
      <c r="D996" s="1" t="str">
        <f>IFERROR(VLOOKUP(A996,'MLR Data'!$A$2:$D$706,4,0),"")</f>
        <v/>
      </c>
      <c r="E996" s="5" t="s">
        <v>55</v>
      </c>
    </row>
    <row r="997" spans="1:5" x14ac:dyDescent="0.3">
      <c r="A997" s="3" t="s">
        <v>873</v>
      </c>
      <c r="B997" s="3" t="s">
        <v>464</v>
      </c>
      <c r="C997" s="3" t="s">
        <v>429</v>
      </c>
      <c r="D997" s="1" t="str">
        <f>IFERROR(VLOOKUP(A997,'MLR Data'!$A$2:$D$706,4,0),"")</f>
        <v/>
      </c>
      <c r="E997" s="5" t="s">
        <v>9</v>
      </c>
    </row>
    <row r="998" spans="1:5" x14ac:dyDescent="0.3">
      <c r="A998" s="3" t="s">
        <v>874</v>
      </c>
      <c r="B998" s="3" t="s">
        <v>464</v>
      </c>
      <c r="C998" s="3" t="s">
        <v>478</v>
      </c>
      <c r="D998" s="1" t="str">
        <f>IFERROR(VLOOKUP(A998,'MLR Data'!$A$2:$D$706,4,0),"")</f>
        <v/>
      </c>
      <c r="E998" s="5" t="s">
        <v>20</v>
      </c>
    </row>
    <row r="999" spans="1:5" x14ac:dyDescent="0.3">
      <c r="A999" s="3" t="s">
        <v>875</v>
      </c>
      <c r="B999" s="3" t="s">
        <v>482</v>
      </c>
      <c r="C999" s="3" t="s">
        <v>859</v>
      </c>
      <c r="D999" s="1" t="str">
        <f>IFERROR(VLOOKUP(A999,'MLR Data'!$A$2:$D$706,4,0),"")</f>
        <v/>
      </c>
      <c r="E999" s="5" t="s">
        <v>75</v>
      </c>
    </row>
    <row r="1000" spans="1:5" x14ac:dyDescent="0.3">
      <c r="A1000" s="3" t="s">
        <v>876</v>
      </c>
      <c r="B1000" s="3" t="s">
        <v>523</v>
      </c>
      <c r="C1000" s="3" t="s">
        <v>478</v>
      </c>
      <c r="D1000" s="1" t="str">
        <f>IFERROR(VLOOKUP(A1000,'MLR Data'!$A$2:$D$706,4,0),"")</f>
        <v/>
      </c>
      <c r="E1000" s="5" t="s">
        <v>20</v>
      </c>
    </row>
    <row r="1001" spans="1:5" x14ac:dyDescent="0.3">
      <c r="A1001" s="3" t="s">
        <v>877</v>
      </c>
      <c r="B1001" s="3" t="s">
        <v>569</v>
      </c>
      <c r="C1001" s="3" t="s">
        <v>860</v>
      </c>
      <c r="D1001" s="1" t="str">
        <f>IFERROR(VLOOKUP(A1001,'MLR Data'!$A$2:$D$706,4,0),"")</f>
        <v/>
      </c>
      <c r="E1001" s="5" t="s">
        <v>150</v>
      </c>
    </row>
    <row r="1002" spans="1:5" x14ac:dyDescent="0.3">
      <c r="A1002" s="3" t="s">
        <v>878</v>
      </c>
      <c r="B1002" s="3" t="s">
        <v>589</v>
      </c>
      <c r="C1002" s="3" t="s">
        <v>118</v>
      </c>
      <c r="D1002" s="1" t="str">
        <f>IFERROR(VLOOKUP(A1002,'MLR Data'!$A$2:$D$706,4,0),"")</f>
        <v/>
      </c>
      <c r="E1002" s="5"/>
    </row>
    <row r="1003" spans="1:5" x14ac:dyDescent="0.3">
      <c r="A1003" s="3" t="s">
        <v>879</v>
      </c>
      <c r="B1003" s="3" t="s">
        <v>608</v>
      </c>
      <c r="C1003" s="3" t="s">
        <v>861</v>
      </c>
      <c r="D1003" s="1" t="str">
        <f>IFERROR(VLOOKUP(A1003,'MLR Data'!$A$2:$D$706,4,0),"")</f>
        <v/>
      </c>
      <c r="E1003" s="5" t="s">
        <v>181</v>
      </c>
    </row>
    <row r="1004" spans="1:5" x14ac:dyDescent="0.3">
      <c r="A1004" s="3" t="s">
        <v>880</v>
      </c>
      <c r="B1004" s="3" t="s">
        <v>621</v>
      </c>
      <c r="C1004" s="3" t="s">
        <v>478</v>
      </c>
      <c r="D1004" s="1" t="str">
        <f>IFERROR(VLOOKUP(A1004,'MLR Data'!$A$2:$D$706,4,0),"")</f>
        <v/>
      </c>
      <c r="E1004" s="5" t="s">
        <v>20</v>
      </c>
    </row>
    <row r="1005" spans="1:5" x14ac:dyDescent="0.3">
      <c r="A1005" s="3" t="s">
        <v>881</v>
      </c>
      <c r="B1005" s="3" t="s">
        <v>629</v>
      </c>
      <c r="C1005" s="3" t="s">
        <v>407</v>
      </c>
      <c r="D1005" s="1" t="str">
        <f>IFERROR(VLOOKUP(A1005,'MLR Data'!$A$2:$D$706,4,0),"")</f>
        <v/>
      </c>
      <c r="E1005" s="5" t="s">
        <v>26</v>
      </c>
    </row>
    <row r="1006" spans="1:5" x14ac:dyDescent="0.3">
      <c r="A1006" s="3" t="s">
        <v>882</v>
      </c>
      <c r="B1006" s="3" t="s">
        <v>638</v>
      </c>
      <c r="C1006" s="3" t="s">
        <v>478</v>
      </c>
      <c r="D1006" s="1" t="str">
        <f>IFERROR(VLOOKUP(A1006,'MLR Data'!$A$2:$D$706,4,0),"")</f>
        <v/>
      </c>
      <c r="E1006" s="5" t="s">
        <v>20</v>
      </c>
    </row>
    <row r="1007" spans="1:5" x14ac:dyDescent="0.3">
      <c r="A1007" s="3" t="s">
        <v>883</v>
      </c>
      <c r="B1007" s="3" t="s">
        <v>641</v>
      </c>
      <c r="C1007" s="3" t="s">
        <v>368</v>
      </c>
      <c r="D1007" s="1" t="str">
        <f>IFERROR(VLOOKUP(A1007,'MLR Data'!$A$2:$D$706,4,0),"")</f>
        <v/>
      </c>
      <c r="E1007" s="5" t="s">
        <v>20</v>
      </c>
    </row>
    <row r="1008" spans="1:5" x14ac:dyDescent="0.3">
      <c r="A1008" s="3" t="s">
        <v>884</v>
      </c>
      <c r="B1008" s="3" t="s">
        <v>641</v>
      </c>
      <c r="C1008" s="3" t="s">
        <v>862</v>
      </c>
      <c r="D1008" s="1" t="str">
        <f>IFERROR(VLOOKUP(A1008,'MLR Data'!$A$2:$D$706,4,0),"")</f>
        <v/>
      </c>
      <c r="E1008" s="5" t="s">
        <v>204</v>
      </c>
    </row>
    <row r="1009" spans="1:5" x14ac:dyDescent="0.3">
      <c r="A1009" s="3" t="s">
        <v>885</v>
      </c>
      <c r="B1009" s="3" t="s">
        <v>649</v>
      </c>
      <c r="C1009" s="3" t="s">
        <v>863</v>
      </c>
      <c r="D1009" s="1" t="str">
        <f>IFERROR(VLOOKUP(A1009,'MLR Data'!$A$2:$D$706,4,0),"")</f>
        <v/>
      </c>
      <c r="E1009" s="5" t="s">
        <v>211</v>
      </c>
    </row>
    <row r="1010" spans="1:5" x14ac:dyDescent="0.3">
      <c r="A1010" s="3" t="s">
        <v>886</v>
      </c>
      <c r="B1010" s="3" t="s">
        <v>660</v>
      </c>
      <c r="C1010" s="3" t="s">
        <v>414</v>
      </c>
      <c r="D1010" s="1" t="str">
        <f>IFERROR(VLOOKUP(A1010,'MLR Data'!$A$2:$D$706,4,0),"")</f>
        <v/>
      </c>
      <c r="E1010" s="5" t="s">
        <v>20</v>
      </c>
    </row>
    <row r="1011" spans="1:5" x14ac:dyDescent="0.3">
      <c r="A1011" s="3" t="s">
        <v>887</v>
      </c>
      <c r="B1011" s="3" t="s">
        <v>665</v>
      </c>
      <c r="C1011" s="3" t="s">
        <v>864</v>
      </c>
      <c r="D1011" s="1" t="str">
        <f>IFERROR(VLOOKUP(A1011,'MLR Data'!$A$2:$D$706,4,0),"")</f>
        <v/>
      </c>
      <c r="E1011" s="5"/>
    </row>
    <row r="1012" spans="1:5" x14ac:dyDescent="0.3">
      <c r="A1012" s="3" t="s">
        <v>888</v>
      </c>
      <c r="B1012" s="3" t="s">
        <v>665</v>
      </c>
      <c r="C1012" s="3" t="s">
        <v>865</v>
      </c>
      <c r="D1012" s="1" t="str">
        <f>IFERROR(VLOOKUP(A1012,'MLR Data'!$A$2:$D$706,4,0),"")</f>
        <v/>
      </c>
      <c r="E1012" s="5"/>
    </row>
    <row r="1013" spans="1:5" x14ac:dyDescent="0.3">
      <c r="A1013" s="3" t="s">
        <v>889</v>
      </c>
      <c r="B1013" s="3" t="s">
        <v>665</v>
      </c>
      <c r="C1013" s="3" t="s">
        <v>866</v>
      </c>
      <c r="D1013" s="1" t="str">
        <f>IFERROR(VLOOKUP(A1013,'MLR Data'!$A$2:$D$706,4,0),"")</f>
        <v/>
      </c>
      <c r="E1013" s="5"/>
    </row>
    <row r="1014" spans="1:5" x14ac:dyDescent="0.3">
      <c r="A1014" s="3" t="s">
        <v>890</v>
      </c>
      <c r="B1014" s="3" t="s">
        <v>665</v>
      </c>
      <c r="C1014" s="3" t="s">
        <v>478</v>
      </c>
      <c r="D1014" s="1" t="str">
        <f>IFERROR(VLOOKUP(A1014,'MLR Data'!$A$2:$D$706,4,0),"")</f>
        <v/>
      </c>
      <c r="E1014" s="5" t="s">
        <v>236</v>
      </c>
    </row>
    <row r="1015" spans="1:5" x14ac:dyDescent="0.3">
      <c r="A1015" s="3" t="s">
        <v>891</v>
      </c>
      <c r="B1015" s="3" t="s">
        <v>710</v>
      </c>
      <c r="C1015" s="3" t="s">
        <v>867</v>
      </c>
      <c r="D1015" s="1" t="str">
        <f>IFERROR(VLOOKUP(A1015,'MLR Data'!$A$2:$D$706,4,0),"")</f>
        <v/>
      </c>
      <c r="E1015" s="5"/>
    </row>
    <row r="1016" spans="1:5" x14ac:dyDescent="0.3">
      <c r="A1016" s="3" t="s">
        <v>892</v>
      </c>
      <c r="B1016" s="3" t="s">
        <v>710</v>
      </c>
      <c r="C1016" s="3" t="s">
        <v>751</v>
      </c>
      <c r="D1016" s="1" t="str">
        <f>IFERROR(VLOOKUP(A1016,'MLR Data'!$A$2:$D$706,4,0),"")</f>
        <v/>
      </c>
      <c r="E1016" s="5"/>
    </row>
    <row r="1017" spans="1:5" x14ac:dyDescent="0.3">
      <c r="A1017" s="3" t="s">
        <v>893</v>
      </c>
      <c r="B1017" s="3" t="s">
        <v>728</v>
      </c>
      <c r="C1017" s="3" t="s">
        <v>473</v>
      </c>
      <c r="D1017" s="1" t="str">
        <f>IFERROR(VLOOKUP(A1017,'MLR Data'!$A$2:$D$706,4,0),"")</f>
        <v/>
      </c>
      <c r="E1017" s="5" t="s">
        <v>20</v>
      </c>
    </row>
    <row r="1018" spans="1:5" x14ac:dyDescent="0.3">
      <c r="A1018" s="3" t="s">
        <v>894</v>
      </c>
      <c r="B1018" s="3" t="s">
        <v>728</v>
      </c>
      <c r="C1018" s="3" t="s">
        <v>868</v>
      </c>
      <c r="D1018" s="1" t="str">
        <f>IFERROR(VLOOKUP(A1018,'MLR Data'!$A$2:$D$706,4,0),"")</f>
        <v/>
      </c>
      <c r="E1018" s="5"/>
    </row>
    <row r="1019" spans="1:5" x14ac:dyDescent="0.3">
      <c r="A1019" s="3" t="s">
        <v>895</v>
      </c>
      <c r="B1019" s="3" t="s">
        <v>728</v>
      </c>
      <c r="C1019" s="3" t="s">
        <v>414</v>
      </c>
      <c r="D1019" s="1" t="str">
        <f>IFERROR(VLOOKUP(A1019,'MLR Data'!$A$2:$D$706,4,0),"")</f>
        <v/>
      </c>
      <c r="E1019" s="5" t="s">
        <v>20</v>
      </c>
    </row>
    <row r="1020" spans="1:5" x14ac:dyDescent="0.3">
      <c r="A1020" s="3" t="s">
        <v>896</v>
      </c>
      <c r="B1020" s="3" t="s">
        <v>728</v>
      </c>
      <c r="C1020" s="3" t="s">
        <v>415</v>
      </c>
      <c r="D1020" s="1" t="str">
        <f>IFERROR(VLOOKUP(A1020,'MLR Data'!$A$2:$D$706,4,0),"")</f>
        <v/>
      </c>
      <c r="E1020" s="5" t="s">
        <v>16</v>
      </c>
    </row>
    <row r="1021" spans="1:5" x14ac:dyDescent="0.3">
      <c r="A1021" s="3" t="s">
        <v>897</v>
      </c>
      <c r="B1021" s="3" t="s">
        <v>744</v>
      </c>
      <c r="C1021" s="3" t="s">
        <v>277</v>
      </c>
      <c r="D1021" s="1" t="str">
        <f>IFERROR(VLOOKUP(A1021,'MLR Data'!$A$2:$D$706,4,0),"")</f>
        <v>Highmark, Inc.</v>
      </c>
      <c r="E1021" s="5" t="s">
        <v>277</v>
      </c>
    </row>
    <row r="1022" spans="1:5" x14ac:dyDescent="0.3">
      <c r="A1022" s="3" t="s">
        <v>898</v>
      </c>
      <c r="B1022" s="3" t="s">
        <v>772</v>
      </c>
      <c r="C1022" s="3" t="s">
        <v>869</v>
      </c>
      <c r="D1022" s="1" t="str">
        <f>IFERROR(VLOOKUP(A1022,'MLR Data'!$A$2:$D$706,4,0),"")</f>
        <v/>
      </c>
      <c r="E1022" s="5" t="s">
        <v>296</v>
      </c>
    </row>
    <row r="1023" spans="1:5" x14ac:dyDescent="0.3">
      <c r="A1023" s="3" t="s">
        <v>899</v>
      </c>
      <c r="B1023" s="3" t="s">
        <v>772</v>
      </c>
      <c r="C1023" s="3" t="s">
        <v>473</v>
      </c>
      <c r="D1023" s="1" t="str">
        <f>IFERROR(VLOOKUP(A1023,'MLR Data'!$A$2:$D$706,4,0),"")</f>
        <v/>
      </c>
      <c r="E1023" s="5" t="s">
        <v>20</v>
      </c>
    </row>
    <row r="1024" spans="1:5" x14ac:dyDescent="0.3">
      <c r="A1024" s="3" t="s">
        <v>900</v>
      </c>
      <c r="B1024" s="3" t="s">
        <v>813</v>
      </c>
      <c r="C1024" s="3" t="s">
        <v>407</v>
      </c>
      <c r="D1024" s="1" t="str">
        <f>IFERROR(VLOOKUP(A1024,'MLR Data'!$A$2:$D$706,4,0),"")</f>
        <v/>
      </c>
      <c r="E1024" s="5" t="s">
        <v>4</v>
      </c>
    </row>
    <row r="1025" spans="1:5" x14ac:dyDescent="0.3">
      <c r="A1025" s="3" t="s">
        <v>901</v>
      </c>
      <c r="B1025" s="3" t="s">
        <v>823</v>
      </c>
      <c r="C1025" s="3" t="s">
        <v>429</v>
      </c>
      <c r="D1025" s="1" t="str">
        <f>IFERROR(VLOOKUP(A1025,'MLR Data'!$A$2:$D$706,4,0),"")</f>
        <v/>
      </c>
      <c r="E1025" s="5" t="s">
        <v>9</v>
      </c>
    </row>
    <row r="1026" spans="1:5" x14ac:dyDescent="0.3">
      <c r="A1026" s="3" t="s">
        <v>902</v>
      </c>
      <c r="B1026" s="3" t="s">
        <v>823</v>
      </c>
      <c r="C1026" s="3" t="s">
        <v>669</v>
      </c>
      <c r="D1026" s="1" t="str">
        <f>IFERROR(VLOOKUP(A1026,'MLR Data'!$A$2:$D$706,4,0),"")</f>
        <v/>
      </c>
      <c r="E1026" s="5"/>
    </row>
    <row r="1027" spans="1:5" x14ac:dyDescent="0.3">
      <c r="A1027" s="3" t="s">
        <v>903</v>
      </c>
      <c r="B1027" s="3" t="s">
        <v>830</v>
      </c>
      <c r="C1027" s="3" t="s">
        <v>407</v>
      </c>
      <c r="D1027" s="1" t="str">
        <f>IFERROR(VLOOKUP(A1027,'MLR Data'!$A$2:$D$706,4,0),"")</f>
        <v/>
      </c>
      <c r="E1027" s="5" t="s">
        <v>4</v>
      </c>
    </row>
    <row r="1028" spans="1:5" x14ac:dyDescent="0.3">
      <c r="A1028" s="3" t="s">
        <v>904</v>
      </c>
      <c r="B1028" s="3" t="s">
        <v>830</v>
      </c>
      <c r="C1028" s="3" t="s">
        <v>870</v>
      </c>
      <c r="D1028" s="1" t="str">
        <f>IFERROR(VLOOKUP(A1028,'MLR Data'!$A$2:$D$706,4,0),"")</f>
        <v/>
      </c>
      <c r="E1028" s="5" t="s">
        <v>184</v>
      </c>
    </row>
    <row r="1029" spans="1:5" x14ac:dyDescent="0.3">
      <c r="A1029" s="3" t="s">
        <v>905</v>
      </c>
      <c r="B1029" s="3" t="s">
        <v>830</v>
      </c>
      <c r="C1029" s="3" t="s">
        <v>478</v>
      </c>
      <c r="D1029" s="1" t="str">
        <f>IFERROR(VLOOKUP(A1029,'MLR Data'!$A$2:$D$706,4,0),"")</f>
        <v/>
      </c>
      <c r="E1029" s="5" t="s">
        <v>20</v>
      </c>
    </row>
    <row r="1030" spans="1:5" x14ac:dyDescent="0.3">
      <c r="A1030" s="3" t="s">
        <v>906</v>
      </c>
      <c r="B1030" s="3" t="s">
        <v>830</v>
      </c>
      <c r="C1030" s="3" t="s">
        <v>614</v>
      </c>
      <c r="D1030" s="1" t="str">
        <f>IFERROR(VLOOKUP(A1030,'MLR Data'!$A$2:$D$706,4,0),"")</f>
        <v/>
      </c>
      <c r="E1030" s="5" t="s">
        <v>352</v>
      </c>
    </row>
    <row r="1031" spans="1:5" x14ac:dyDescent="0.3">
      <c r="A1031" s="3" t="s">
        <v>907</v>
      </c>
      <c r="B1031" s="3" t="s">
        <v>839</v>
      </c>
      <c r="C1031" s="3" t="s">
        <v>751</v>
      </c>
      <c r="D1031" s="1" t="str">
        <f>IFERROR(VLOOKUP(A1031,'MLR Data'!$A$2:$D$706,4,0),"")</f>
        <v/>
      </c>
      <c r="E1031" s="5"/>
    </row>
    <row r="1032" spans="1:5" x14ac:dyDescent="0.3">
      <c r="A1032" s="3" t="s">
        <v>908</v>
      </c>
      <c r="B1032" s="3" t="s">
        <v>839</v>
      </c>
      <c r="C1032" s="3" t="s">
        <v>407</v>
      </c>
      <c r="D1032" s="1" t="str">
        <f>IFERROR(VLOOKUP(A1032,'MLR Data'!$A$2:$D$706,4,0),"")</f>
        <v/>
      </c>
      <c r="E1032" s="5" t="s">
        <v>4</v>
      </c>
    </row>
    <row r="1033" spans="1:5" x14ac:dyDescent="0.3">
      <c r="A1033" t="s">
        <v>1034</v>
      </c>
      <c r="B1033" t="s">
        <v>367</v>
      </c>
      <c r="C1033" t="s">
        <v>387</v>
      </c>
      <c r="D1033" s="1" t="str">
        <f>IFERROR(VLOOKUP(A1033,'MLR Data'!$A$2:$D$706,4,0),"")</f>
        <v/>
      </c>
      <c r="E1033" s="5" t="s">
        <v>4</v>
      </c>
    </row>
    <row r="1034" spans="1:5" x14ac:dyDescent="0.3">
      <c r="A1034" t="s">
        <v>1035</v>
      </c>
      <c r="B1034" t="s">
        <v>367</v>
      </c>
      <c r="C1034" t="s">
        <v>431</v>
      </c>
      <c r="D1034" s="1" t="str">
        <f>IFERROR(VLOOKUP(A1034,'MLR Data'!$A$2:$D$706,4,0),"")</f>
        <v/>
      </c>
    </row>
    <row r="1035" spans="1:5" x14ac:dyDescent="0.3">
      <c r="A1035" t="s">
        <v>1036</v>
      </c>
      <c r="B1035" t="s">
        <v>367</v>
      </c>
      <c r="C1035" t="s">
        <v>478</v>
      </c>
      <c r="D1035" s="1" t="str">
        <f>IFERROR(VLOOKUP(A1035,'MLR Data'!$A$2:$D$706,4,0),"")</f>
        <v/>
      </c>
    </row>
    <row r="1036" spans="1:5" x14ac:dyDescent="0.3">
      <c r="A1036" t="s">
        <v>1037</v>
      </c>
      <c r="B1036" t="s">
        <v>367</v>
      </c>
      <c r="C1036" t="s">
        <v>384</v>
      </c>
      <c r="D1036" s="1" t="str">
        <f>IFERROR(VLOOKUP(A1036,'MLR Data'!$A$2:$D$706,4,0),"")</f>
        <v/>
      </c>
    </row>
    <row r="1037" spans="1:5" x14ac:dyDescent="0.3">
      <c r="A1037" t="s">
        <v>1038</v>
      </c>
      <c r="B1037" t="s">
        <v>367</v>
      </c>
      <c r="C1037" t="s">
        <v>390</v>
      </c>
      <c r="D1037" s="1" t="str">
        <f>IFERROR(VLOOKUP(A1037,'MLR Data'!$A$2:$D$706,4,0),"")</f>
        <v/>
      </c>
      <c r="E1037" s="5" t="s">
        <v>20</v>
      </c>
    </row>
    <row r="1038" spans="1:5" x14ac:dyDescent="0.3">
      <c r="A1038" t="s">
        <v>1039</v>
      </c>
      <c r="B1038" t="s">
        <v>367</v>
      </c>
      <c r="C1038" t="s">
        <v>909</v>
      </c>
      <c r="D1038" s="1" t="str">
        <f>IFERROR(VLOOKUP(A1038,'MLR Data'!$A$2:$D$706,4,0),"")</f>
        <v/>
      </c>
      <c r="E1038" s="5" t="s">
        <v>16</v>
      </c>
    </row>
    <row r="1039" spans="1:5" x14ac:dyDescent="0.3">
      <c r="A1039" t="s">
        <v>1040</v>
      </c>
      <c r="B1039" t="s">
        <v>367</v>
      </c>
      <c r="C1039" t="s">
        <v>535</v>
      </c>
      <c r="D1039" s="1" t="str">
        <f>IFERROR(VLOOKUP(A1039,'MLR Data'!$A$2:$D$706,4,0),"")</f>
        <v/>
      </c>
    </row>
    <row r="1040" spans="1:5" x14ac:dyDescent="0.3">
      <c r="A1040" t="s">
        <v>1041</v>
      </c>
      <c r="B1040" t="s">
        <v>367</v>
      </c>
      <c r="C1040" t="s">
        <v>391</v>
      </c>
      <c r="D1040" s="1" t="str">
        <f>IFERROR(VLOOKUP(A1040,'MLR Data'!$A$2:$D$706,4,0),"")</f>
        <v/>
      </c>
    </row>
    <row r="1041" spans="1:5" x14ac:dyDescent="0.3">
      <c r="A1041" t="s">
        <v>1042</v>
      </c>
      <c r="B1041" t="s">
        <v>367</v>
      </c>
      <c r="C1041" t="s">
        <v>415</v>
      </c>
      <c r="D1041" s="1" t="str">
        <f>IFERROR(VLOOKUP(A1041,'MLR Data'!$A$2:$D$706,4,0),"")</f>
        <v/>
      </c>
      <c r="E1041" s="5" t="s">
        <v>16</v>
      </c>
    </row>
    <row r="1042" spans="1:5" x14ac:dyDescent="0.3">
      <c r="A1042" t="s">
        <v>1043</v>
      </c>
      <c r="B1042" t="s">
        <v>367</v>
      </c>
      <c r="C1042" t="s">
        <v>910</v>
      </c>
      <c r="D1042" s="1" t="str">
        <f>IFERROR(VLOOKUP(A1042,'MLR Data'!$A$2:$D$706,4,0),"")</f>
        <v/>
      </c>
    </row>
    <row r="1043" spans="1:5" x14ac:dyDescent="0.3">
      <c r="A1043" t="s">
        <v>1044</v>
      </c>
      <c r="B1043" t="s">
        <v>367</v>
      </c>
      <c r="C1043" t="s">
        <v>381</v>
      </c>
      <c r="D1043" s="1" t="str">
        <f>IFERROR(VLOOKUP(A1043,'MLR Data'!$A$2:$D$706,4,0),"")</f>
        <v/>
      </c>
    </row>
    <row r="1044" spans="1:5" x14ac:dyDescent="0.3">
      <c r="A1044" t="s">
        <v>1045</v>
      </c>
      <c r="B1044" t="s">
        <v>367</v>
      </c>
      <c r="C1044" t="s">
        <v>429</v>
      </c>
      <c r="D1044" s="1" t="str">
        <f>IFERROR(VLOOKUP(A1044,'MLR Data'!$A$2:$D$706,4,0),"")</f>
        <v/>
      </c>
      <c r="E1044" s="5" t="s">
        <v>9</v>
      </c>
    </row>
    <row r="1045" spans="1:5" x14ac:dyDescent="0.3">
      <c r="A1045" t="s">
        <v>1046</v>
      </c>
      <c r="B1045" t="s">
        <v>367</v>
      </c>
      <c r="C1045" t="s">
        <v>911</v>
      </c>
      <c r="D1045" s="1" t="str">
        <f>IFERROR(VLOOKUP(A1045,'MLR Data'!$A$2:$D$706,4,0),"")</f>
        <v/>
      </c>
      <c r="E1045" s="5" t="s">
        <v>31</v>
      </c>
    </row>
    <row r="1046" spans="1:5" x14ac:dyDescent="0.3">
      <c r="A1046" t="s">
        <v>1047</v>
      </c>
      <c r="B1046" t="s">
        <v>367</v>
      </c>
      <c r="C1046" t="s">
        <v>912</v>
      </c>
      <c r="D1046" s="1" t="str">
        <f>IFERROR(VLOOKUP(A1046,'MLR Data'!$A$2:$D$706,4,0),"")</f>
        <v/>
      </c>
      <c r="E1046" s="5" t="s">
        <v>13</v>
      </c>
    </row>
    <row r="1047" spans="1:5" x14ac:dyDescent="0.3">
      <c r="A1047" t="s">
        <v>1048</v>
      </c>
      <c r="B1047" t="s">
        <v>367</v>
      </c>
      <c r="C1047" t="s">
        <v>407</v>
      </c>
      <c r="D1047" s="1" t="str">
        <f>IFERROR(VLOOKUP(A1047,'MLR Data'!$A$2:$D$706,4,0),"")</f>
        <v/>
      </c>
      <c r="E1047" s="5" t="s">
        <v>4</v>
      </c>
    </row>
    <row r="1048" spans="1:5" x14ac:dyDescent="0.3">
      <c r="A1048" t="s">
        <v>1049</v>
      </c>
      <c r="B1048" t="s">
        <v>367</v>
      </c>
      <c r="C1048" t="s">
        <v>913</v>
      </c>
      <c r="D1048" s="1" t="str">
        <f>IFERROR(VLOOKUP(A1048,'MLR Data'!$A$2:$D$706,4,0),"")</f>
        <v/>
      </c>
      <c r="E1048" s="5" t="s">
        <v>4</v>
      </c>
    </row>
    <row r="1049" spans="1:5" x14ac:dyDescent="0.3">
      <c r="A1049" t="s">
        <v>1050</v>
      </c>
      <c r="B1049" t="s">
        <v>367</v>
      </c>
      <c r="C1049" t="s">
        <v>914</v>
      </c>
      <c r="D1049" s="1" t="str">
        <f>IFERROR(VLOOKUP(A1049,'MLR Data'!$A$2:$D$706,4,0),"")</f>
        <v/>
      </c>
    </row>
    <row r="1050" spans="1:5" x14ac:dyDescent="0.3">
      <c r="A1050" t="s">
        <v>1051</v>
      </c>
      <c r="B1050" t="s">
        <v>849</v>
      </c>
      <c r="C1050" t="s">
        <v>372</v>
      </c>
      <c r="D1050" s="1" t="str">
        <f>IFERROR(VLOOKUP(A1050,'MLR Data'!$A$2:$D$706,4,0),"")</f>
        <v/>
      </c>
      <c r="E1050" s="5" t="s">
        <v>15</v>
      </c>
    </row>
    <row r="1051" spans="1:5" x14ac:dyDescent="0.3">
      <c r="A1051" t="s">
        <v>1052</v>
      </c>
      <c r="B1051" t="s">
        <v>849</v>
      </c>
      <c r="C1051" t="s">
        <v>407</v>
      </c>
      <c r="D1051" s="1" t="str">
        <f>IFERROR(VLOOKUP(A1051,'MLR Data'!$A$2:$D$706,4,0),"")</f>
        <v/>
      </c>
      <c r="E1051" s="5" t="s">
        <v>4</v>
      </c>
    </row>
    <row r="1052" spans="1:5" x14ac:dyDescent="0.3">
      <c r="A1052" t="s">
        <v>1053</v>
      </c>
      <c r="B1052" t="s">
        <v>849</v>
      </c>
      <c r="C1052" t="s">
        <v>391</v>
      </c>
      <c r="D1052" s="1" t="str">
        <f>IFERROR(VLOOKUP(A1052,'MLR Data'!$A$2:$D$706,4,0),"")</f>
        <v/>
      </c>
    </row>
    <row r="1053" spans="1:5" x14ac:dyDescent="0.3">
      <c r="A1053" t="s">
        <v>1054</v>
      </c>
      <c r="B1053" t="s">
        <v>849</v>
      </c>
      <c r="C1053" t="s">
        <v>387</v>
      </c>
      <c r="D1053" s="1" t="str">
        <f>IFERROR(VLOOKUP(A1053,'MLR Data'!$A$2:$D$706,4,0),"")</f>
        <v/>
      </c>
      <c r="E1053" s="5" t="s">
        <v>4</v>
      </c>
    </row>
    <row r="1054" spans="1:5" x14ac:dyDescent="0.3">
      <c r="A1054" t="s">
        <v>1055</v>
      </c>
      <c r="B1054" t="s">
        <v>849</v>
      </c>
      <c r="C1054" t="s">
        <v>415</v>
      </c>
      <c r="D1054" s="1" t="str">
        <f>IFERROR(VLOOKUP(A1054,'MLR Data'!$A$2:$D$706,4,0),"")</f>
        <v/>
      </c>
    </row>
    <row r="1055" spans="1:5" x14ac:dyDescent="0.3">
      <c r="A1055" t="s">
        <v>1056</v>
      </c>
      <c r="B1055" t="s">
        <v>849</v>
      </c>
      <c r="C1055" t="s">
        <v>390</v>
      </c>
      <c r="D1055" s="1" t="str">
        <f>IFERROR(VLOOKUP(A1055,'MLR Data'!$A$2:$D$706,4,0),"")</f>
        <v/>
      </c>
      <c r="E1055" s="5" t="s">
        <v>20</v>
      </c>
    </row>
    <row r="1056" spans="1:5" x14ac:dyDescent="0.3">
      <c r="A1056" t="s">
        <v>1057</v>
      </c>
      <c r="B1056" t="s">
        <v>849</v>
      </c>
      <c r="C1056" t="s">
        <v>909</v>
      </c>
      <c r="D1056" s="1" t="str">
        <f>IFERROR(VLOOKUP(A1056,'MLR Data'!$A$2:$D$706,4,0),"")</f>
        <v/>
      </c>
    </row>
    <row r="1057" spans="1:5" x14ac:dyDescent="0.3">
      <c r="A1057" t="s">
        <v>1058</v>
      </c>
      <c r="B1057" t="s">
        <v>849</v>
      </c>
      <c r="C1057" t="s">
        <v>913</v>
      </c>
      <c r="D1057" s="1" t="str">
        <f>IFERROR(VLOOKUP(A1057,'MLR Data'!$A$2:$D$706,4,0),"")</f>
        <v/>
      </c>
      <c r="E1057" s="5" t="s">
        <v>4</v>
      </c>
    </row>
    <row r="1058" spans="1:5" x14ac:dyDescent="0.3">
      <c r="A1058" t="s">
        <v>1059</v>
      </c>
      <c r="B1058" t="s">
        <v>388</v>
      </c>
      <c r="C1058" t="s">
        <v>381</v>
      </c>
      <c r="D1058" s="1" t="str">
        <f>IFERROR(VLOOKUP(A1058,'MLR Data'!$A$2:$D$706,4,0),"")</f>
        <v/>
      </c>
    </row>
    <row r="1059" spans="1:5" x14ac:dyDescent="0.3">
      <c r="A1059" t="s">
        <v>1060</v>
      </c>
      <c r="B1059" t="s">
        <v>388</v>
      </c>
      <c r="C1059" t="s">
        <v>478</v>
      </c>
      <c r="D1059" s="1" t="str">
        <f>IFERROR(VLOOKUP(A1059,'MLR Data'!$A$2:$D$706,4,0),"")</f>
        <v/>
      </c>
      <c r="E1059" s="5" t="s">
        <v>20</v>
      </c>
    </row>
    <row r="1060" spans="1:5" x14ac:dyDescent="0.3">
      <c r="A1060" t="s">
        <v>1061</v>
      </c>
      <c r="B1060" t="s">
        <v>388</v>
      </c>
      <c r="C1060" t="s">
        <v>461</v>
      </c>
      <c r="D1060" s="1" t="str">
        <f>IFERROR(VLOOKUP(A1060,'MLR Data'!$A$2:$D$706,4,0),"")</f>
        <v/>
      </c>
      <c r="E1060" s="5" t="s">
        <v>28</v>
      </c>
    </row>
    <row r="1061" spans="1:5" x14ac:dyDescent="0.3">
      <c r="A1061" t="s">
        <v>1062</v>
      </c>
      <c r="B1061" t="s">
        <v>388</v>
      </c>
      <c r="C1061" t="s">
        <v>429</v>
      </c>
      <c r="D1061" s="1" t="str">
        <f>IFERROR(VLOOKUP(A1061,'MLR Data'!$A$2:$D$706,4,0),"")</f>
        <v/>
      </c>
      <c r="E1061" s="5" t="s">
        <v>27</v>
      </c>
    </row>
    <row r="1062" spans="1:5" x14ac:dyDescent="0.3">
      <c r="A1062" t="s">
        <v>1063</v>
      </c>
      <c r="B1062" t="s">
        <v>388</v>
      </c>
      <c r="C1062" t="s">
        <v>915</v>
      </c>
      <c r="D1062" s="1" t="str">
        <f>IFERROR(VLOOKUP(A1062,'MLR Data'!$A$2:$D$706,4,0),"")</f>
        <v/>
      </c>
    </row>
    <row r="1063" spans="1:5" x14ac:dyDescent="0.3">
      <c r="A1063" t="s">
        <v>1064</v>
      </c>
      <c r="B1063" t="s">
        <v>388</v>
      </c>
      <c r="C1063" t="s">
        <v>909</v>
      </c>
      <c r="D1063" s="1" t="str">
        <f>IFERROR(VLOOKUP(A1063,'MLR Data'!$A$2:$D$706,4,0),"")</f>
        <v/>
      </c>
      <c r="E1063" s="5" t="s">
        <v>16</v>
      </c>
    </row>
    <row r="1064" spans="1:5" x14ac:dyDescent="0.3">
      <c r="A1064" t="s">
        <v>1065</v>
      </c>
      <c r="B1064" t="s">
        <v>388</v>
      </c>
      <c r="C1064" t="s">
        <v>431</v>
      </c>
      <c r="D1064" s="1" t="str">
        <f>IFERROR(VLOOKUP(A1064,'MLR Data'!$A$2:$D$706,4,0),"")</f>
        <v/>
      </c>
    </row>
    <row r="1065" spans="1:5" x14ac:dyDescent="0.3">
      <c r="A1065" t="s">
        <v>1066</v>
      </c>
      <c r="B1065" t="s">
        <v>388</v>
      </c>
      <c r="C1065" t="s">
        <v>911</v>
      </c>
      <c r="D1065" s="1" t="str">
        <f>IFERROR(VLOOKUP(A1065,'MLR Data'!$A$2:$D$706,4,0),"")</f>
        <v/>
      </c>
      <c r="E1065" s="5" t="s">
        <v>31</v>
      </c>
    </row>
    <row r="1066" spans="1:5" x14ac:dyDescent="0.3">
      <c r="A1066" t="s">
        <v>1067</v>
      </c>
      <c r="B1066" t="s">
        <v>388</v>
      </c>
      <c r="C1066" t="s">
        <v>916</v>
      </c>
      <c r="D1066" s="1" t="str">
        <f>IFERROR(VLOOKUP(A1066,'MLR Data'!$A$2:$D$706,4,0),"")</f>
        <v/>
      </c>
    </row>
    <row r="1067" spans="1:5" x14ac:dyDescent="0.3">
      <c r="A1067" t="s">
        <v>1068</v>
      </c>
      <c r="B1067" t="s">
        <v>388</v>
      </c>
      <c r="C1067" t="s">
        <v>535</v>
      </c>
      <c r="D1067" s="1" t="str">
        <f>IFERROR(VLOOKUP(A1067,'MLR Data'!$A$2:$D$706,4,0),"")</f>
        <v/>
      </c>
    </row>
    <row r="1068" spans="1:5" x14ac:dyDescent="0.3">
      <c r="A1068" t="s">
        <v>1069</v>
      </c>
      <c r="B1068" t="s">
        <v>388</v>
      </c>
      <c r="C1068" t="s">
        <v>913</v>
      </c>
      <c r="D1068" s="1" t="str">
        <f>IFERROR(VLOOKUP(A1068,'MLR Data'!$A$2:$D$706,4,0),"")</f>
        <v/>
      </c>
      <c r="E1068" s="5" t="s">
        <v>4</v>
      </c>
    </row>
    <row r="1069" spans="1:5" x14ac:dyDescent="0.3">
      <c r="A1069" t="s">
        <v>1070</v>
      </c>
      <c r="B1069" t="s">
        <v>388</v>
      </c>
      <c r="C1069" t="s">
        <v>910</v>
      </c>
      <c r="D1069" s="1" t="str">
        <f>IFERROR(VLOOKUP(A1069,'MLR Data'!$A$2:$D$706,4,0),"")</f>
        <v/>
      </c>
    </row>
    <row r="1070" spans="1:5" x14ac:dyDescent="0.3">
      <c r="A1070" t="s">
        <v>1071</v>
      </c>
      <c r="B1070" t="s">
        <v>388</v>
      </c>
      <c r="C1070" t="s">
        <v>917</v>
      </c>
      <c r="D1070" s="1" t="str">
        <f>IFERROR(VLOOKUP(A1070,'MLR Data'!$A$2:$D$706,4,0),"")</f>
        <v/>
      </c>
    </row>
    <row r="1071" spans="1:5" x14ac:dyDescent="0.3">
      <c r="A1071" t="s">
        <v>1072</v>
      </c>
      <c r="B1071" t="s">
        <v>388</v>
      </c>
      <c r="C1071" t="s">
        <v>918</v>
      </c>
      <c r="D1071" s="1" t="str">
        <f>IFERROR(VLOOKUP(A1071,'MLR Data'!$A$2:$D$706,4,0),"")</f>
        <v/>
      </c>
      <c r="E1071" s="5" t="s">
        <v>31</v>
      </c>
    </row>
    <row r="1072" spans="1:5" x14ac:dyDescent="0.3">
      <c r="A1072" t="s">
        <v>1073</v>
      </c>
      <c r="B1072" t="s">
        <v>388</v>
      </c>
      <c r="C1072" t="s">
        <v>919</v>
      </c>
      <c r="D1072" s="1" t="str">
        <f>IFERROR(VLOOKUP(A1072,'MLR Data'!$A$2:$D$706,4,0),"")</f>
        <v/>
      </c>
    </row>
    <row r="1073" spans="1:5" x14ac:dyDescent="0.3">
      <c r="A1073" t="s">
        <v>1074</v>
      </c>
      <c r="B1073" t="s">
        <v>388</v>
      </c>
      <c r="C1073" t="s">
        <v>920</v>
      </c>
      <c r="D1073" s="1" t="str">
        <f>IFERROR(VLOOKUP(A1073,'MLR Data'!$A$2:$D$706,4,0),"")</f>
        <v/>
      </c>
    </row>
    <row r="1074" spans="1:5" x14ac:dyDescent="0.3">
      <c r="A1074" t="s">
        <v>1075</v>
      </c>
      <c r="B1074" t="s">
        <v>388</v>
      </c>
      <c r="C1074" t="s">
        <v>921</v>
      </c>
      <c r="D1074" s="1" t="str">
        <f>IFERROR(VLOOKUP(A1074,'MLR Data'!$A$2:$D$706,4,0),"")</f>
        <v/>
      </c>
      <c r="E1074" s="5" t="s">
        <v>4</v>
      </c>
    </row>
    <row r="1075" spans="1:5" x14ac:dyDescent="0.3">
      <c r="A1075" t="s">
        <v>1076</v>
      </c>
      <c r="B1075" t="s">
        <v>376</v>
      </c>
      <c r="C1075" t="s">
        <v>922</v>
      </c>
      <c r="D1075" s="1" t="str">
        <f>IFERROR(VLOOKUP(A1075,'MLR Data'!$A$2:$D$706,4,0),"")</f>
        <v/>
      </c>
    </row>
    <row r="1076" spans="1:5" x14ac:dyDescent="0.3">
      <c r="A1076" t="s">
        <v>1077</v>
      </c>
      <c r="B1076" t="s">
        <v>376</v>
      </c>
      <c r="C1076" t="s">
        <v>429</v>
      </c>
      <c r="D1076" s="1" t="str">
        <f>IFERROR(VLOOKUP(A1076,'MLR Data'!$A$2:$D$706,4,0),"")</f>
        <v/>
      </c>
      <c r="E1076" s="5" t="s">
        <v>9</v>
      </c>
    </row>
    <row r="1077" spans="1:5" x14ac:dyDescent="0.3">
      <c r="A1077" t="s">
        <v>1078</v>
      </c>
      <c r="B1077" t="s">
        <v>376</v>
      </c>
      <c r="C1077" t="s">
        <v>415</v>
      </c>
      <c r="D1077" s="1" t="str">
        <f>IFERROR(VLOOKUP(A1077,'MLR Data'!$A$2:$D$706,4,0),"")</f>
        <v/>
      </c>
      <c r="E1077" s="5" t="s">
        <v>16</v>
      </c>
    </row>
    <row r="1078" spans="1:5" x14ac:dyDescent="0.3">
      <c r="A1078" t="s">
        <v>1079</v>
      </c>
      <c r="B1078" t="s">
        <v>376</v>
      </c>
      <c r="C1078" t="s">
        <v>391</v>
      </c>
      <c r="D1078" s="1" t="str">
        <f>IFERROR(VLOOKUP(A1078,'MLR Data'!$A$2:$D$706,4,0),"")</f>
        <v/>
      </c>
    </row>
    <row r="1079" spans="1:5" x14ac:dyDescent="0.3">
      <c r="A1079" t="s">
        <v>1080</v>
      </c>
      <c r="B1079" t="s">
        <v>376</v>
      </c>
      <c r="C1079" t="s">
        <v>724</v>
      </c>
      <c r="D1079" s="1" t="str">
        <f>IFERROR(VLOOKUP(A1079,'MLR Data'!$A$2:$D$706,4,0),"")</f>
        <v/>
      </c>
    </row>
    <row r="1080" spans="1:5" x14ac:dyDescent="0.3">
      <c r="A1080" t="s">
        <v>1081</v>
      </c>
      <c r="B1080" t="s">
        <v>376</v>
      </c>
      <c r="C1080" t="s">
        <v>535</v>
      </c>
      <c r="D1080" s="1" t="str">
        <f>IFERROR(VLOOKUP(A1080,'MLR Data'!$A$2:$D$706,4,0),"")</f>
        <v/>
      </c>
    </row>
    <row r="1081" spans="1:5" x14ac:dyDescent="0.3">
      <c r="A1081" t="s">
        <v>1082</v>
      </c>
      <c r="B1081" t="s">
        <v>376</v>
      </c>
      <c r="C1081" t="s">
        <v>909</v>
      </c>
      <c r="D1081" s="1" t="str">
        <f>IFERROR(VLOOKUP(A1081,'MLR Data'!$A$2:$D$706,4,0),"")</f>
        <v/>
      </c>
    </row>
    <row r="1082" spans="1:5" x14ac:dyDescent="0.3">
      <c r="A1082" t="s">
        <v>1083</v>
      </c>
      <c r="B1082" t="s">
        <v>376</v>
      </c>
      <c r="C1082" t="s">
        <v>910</v>
      </c>
      <c r="D1082" s="1" t="str">
        <f>IFERROR(VLOOKUP(A1082,'MLR Data'!$A$2:$D$706,4,0),"")</f>
        <v/>
      </c>
    </row>
    <row r="1083" spans="1:5" x14ac:dyDescent="0.3">
      <c r="A1083" t="s">
        <v>1084</v>
      </c>
      <c r="B1083" t="s">
        <v>376</v>
      </c>
      <c r="C1083" t="s">
        <v>416</v>
      </c>
      <c r="D1083" s="1" t="str">
        <f>IFERROR(VLOOKUP(A1083,'MLR Data'!$A$2:$D$706,4,0),"")</f>
        <v/>
      </c>
    </row>
    <row r="1084" spans="1:5" x14ac:dyDescent="0.3">
      <c r="A1084" t="s">
        <v>1085</v>
      </c>
      <c r="B1084" t="s">
        <v>376</v>
      </c>
      <c r="C1084" t="s">
        <v>431</v>
      </c>
      <c r="D1084" s="1" t="str">
        <f>IFERROR(VLOOKUP(A1084,'MLR Data'!$A$2:$D$706,4,0),"")</f>
        <v/>
      </c>
    </row>
    <row r="1085" spans="1:5" x14ac:dyDescent="0.3">
      <c r="A1085" t="s">
        <v>1086</v>
      </c>
      <c r="B1085" t="s">
        <v>376</v>
      </c>
      <c r="C1085" t="s">
        <v>923</v>
      </c>
      <c r="D1085" s="1" t="str">
        <f>IFERROR(VLOOKUP(A1085,'MLR Data'!$A$2:$D$706,4,0),"")</f>
        <v/>
      </c>
    </row>
    <row r="1086" spans="1:5" x14ac:dyDescent="0.3">
      <c r="A1086" t="s">
        <v>1087</v>
      </c>
      <c r="B1086" t="s">
        <v>376</v>
      </c>
      <c r="C1086" t="s">
        <v>478</v>
      </c>
      <c r="D1086" s="1" t="str">
        <f>IFERROR(VLOOKUP(A1086,'MLR Data'!$A$2:$D$706,4,0),"")</f>
        <v/>
      </c>
      <c r="E1086" s="5" t="s">
        <v>20</v>
      </c>
    </row>
    <row r="1087" spans="1:5" x14ac:dyDescent="0.3">
      <c r="A1087" t="s">
        <v>1088</v>
      </c>
      <c r="B1087" t="s">
        <v>376</v>
      </c>
      <c r="C1087" t="s">
        <v>911</v>
      </c>
      <c r="D1087" s="1" t="str">
        <f>IFERROR(VLOOKUP(A1087,'MLR Data'!$A$2:$D$706,4,0),"")</f>
        <v/>
      </c>
    </row>
    <row r="1088" spans="1:5" x14ac:dyDescent="0.3">
      <c r="A1088" t="s">
        <v>1089</v>
      </c>
      <c r="B1088" t="s">
        <v>376</v>
      </c>
      <c r="C1088" t="s">
        <v>390</v>
      </c>
      <c r="D1088" s="1" t="str">
        <f>IFERROR(VLOOKUP(A1088,'MLR Data'!$A$2:$D$706,4,0),"")</f>
        <v/>
      </c>
      <c r="E1088" s="5" t="s">
        <v>20</v>
      </c>
    </row>
    <row r="1089" spans="1:5" x14ac:dyDescent="0.3">
      <c r="A1089" t="s">
        <v>1090</v>
      </c>
      <c r="B1089" t="s">
        <v>376</v>
      </c>
      <c r="C1089" t="s">
        <v>913</v>
      </c>
      <c r="D1089" s="1" t="str">
        <f>IFERROR(VLOOKUP(A1089,'MLR Data'!$A$2:$D$706,4,0),"")</f>
        <v/>
      </c>
      <c r="E1089" s="5" t="s">
        <v>4</v>
      </c>
    </row>
    <row r="1090" spans="1:5" x14ac:dyDescent="0.3">
      <c r="A1090" t="s">
        <v>1091</v>
      </c>
      <c r="B1090" t="s">
        <v>376</v>
      </c>
      <c r="C1090" t="s">
        <v>912</v>
      </c>
      <c r="D1090" s="1" t="str">
        <f>IFERROR(VLOOKUP(A1090,'MLR Data'!$A$2:$D$706,4,0),"")</f>
        <v/>
      </c>
      <c r="E1090" s="5" t="s">
        <v>13</v>
      </c>
    </row>
    <row r="1091" spans="1:5" x14ac:dyDescent="0.3">
      <c r="A1091" t="s">
        <v>1092</v>
      </c>
      <c r="B1091" t="s">
        <v>376</v>
      </c>
      <c r="C1091" t="s">
        <v>746</v>
      </c>
      <c r="D1091" s="1" t="str">
        <f>IFERROR(VLOOKUP(A1091,'MLR Data'!$A$2:$D$706,4,0),"")</f>
        <v/>
      </c>
    </row>
    <row r="1092" spans="1:5" x14ac:dyDescent="0.3">
      <c r="A1092" t="s">
        <v>1093</v>
      </c>
      <c r="B1092" t="s">
        <v>376</v>
      </c>
      <c r="C1092" t="s">
        <v>924</v>
      </c>
      <c r="D1092" s="1" t="str">
        <f>IFERROR(VLOOKUP(A1092,'MLR Data'!$A$2:$D$706,4,0),"")</f>
        <v/>
      </c>
    </row>
    <row r="1093" spans="1:5" x14ac:dyDescent="0.3">
      <c r="A1093" t="s">
        <v>1094</v>
      </c>
      <c r="B1093" t="s">
        <v>376</v>
      </c>
      <c r="C1093" t="s">
        <v>374</v>
      </c>
      <c r="D1093" s="1" t="str">
        <f>IFERROR(VLOOKUP(A1093,'MLR Data'!$A$2:$D$706,4,0),"")</f>
        <v/>
      </c>
      <c r="E1093" s="5" t="s">
        <v>20</v>
      </c>
    </row>
    <row r="1094" spans="1:5" x14ac:dyDescent="0.3">
      <c r="A1094" t="s">
        <v>1095</v>
      </c>
      <c r="B1094" t="s">
        <v>376</v>
      </c>
      <c r="C1094" t="s">
        <v>925</v>
      </c>
      <c r="D1094" s="1" t="str">
        <f>IFERROR(VLOOKUP(A1094,'MLR Data'!$A$2:$D$706,4,0),"")</f>
        <v/>
      </c>
    </row>
    <row r="1095" spans="1:5" x14ac:dyDescent="0.3">
      <c r="A1095" t="s">
        <v>1096</v>
      </c>
      <c r="B1095" t="s">
        <v>376</v>
      </c>
      <c r="C1095" t="s">
        <v>407</v>
      </c>
      <c r="D1095" s="1" t="str">
        <f>IFERROR(VLOOKUP(A1095,'MLR Data'!$A$2:$D$706,4,0),"")</f>
        <v/>
      </c>
      <c r="E1095" s="5" t="s">
        <v>4</v>
      </c>
    </row>
    <row r="1096" spans="1:5" x14ac:dyDescent="0.3">
      <c r="A1096" t="s">
        <v>1097</v>
      </c>
      <c r="B1096" t="s">
        <v>418</v>
      </c>
      <c r="C1096" t="s">
        <v>916</v>
      </c>
      <c r="D1096" s="1" t="str">
        <f>IFERROR(VLOOKUP(A1096,'MLR Data'!$A$2:$D$706,4,0),"")</f>
        <v/>
      </c>
    </row>
    <row r="1097" spans="1:5" x14ac:dyDescent="0.3">
      <c r="A1097" t="s">
        <v>1098</v>
      </c>
      <c r="B1097" t="s">
        <v>418</v>
      </c>
      <c r="C1097" t="s">
        <v>926</v>
      </c>
      <c r="D1097" s="1" t="str">
        <f>IFERROR(VLOOKUP(A1097,'MLR Data'!$A$2:$D$706,4,0),"")</f>
        <v/>
      </c>
    </row>
    <row r="1098" spans="1:5" x14ac:dyDescent="0.3">
      <c r="A1098" t="s">
        <v>1099</v>
      </c>
      <c r="B1098" t="s">
        <v>418</v>
      </c>
      <c r="C1098" t="s">
        <v>387</v>
      </c>
      <c r="D1098" s="1" t="str">
        <f>IFERROR(VLOOKUP(A1098,'MLR Data'!$A$2:$D$706,4,0),"")</f>
        <v/>
      </c>
      <c r="E1098" s="5" t="s">
        <v>4</v>
      </c>
    </row>
    <row r="1099" spans="1:5" x14ac:dyDescent="0.3">
      <c r="A1099" t="s">
        <v>1100</v>
      </c>
      <c r="B1099" t="s">
        <v>418</v>
      </c>
      <c r="C1099" t="s">
        <v>391</v>
      </c>
      <c r="D1099" s="1" t="str">
        <f>IFERROR(VLOOKUP(A1099,'MLR Data'!$A$2:$D$706,4,0),"")</f>
        <v/>
      </c>
    </row>
    <row r="1100" spans="1:5" x14ac:dyDescent="0.3">
      <c r="A1100" t="s">
        <v>1101</v>
      </c>
      <c r="B1100" t="s">
        <v>418</v>
      </c>
      <c r="C1100" t="s">
        <v>383</v>
      </c>
      <c r="D1100" s="1" t="str">
        <f>IFERROR(VLOOKUP(A1100,'MLR Data'!$A$2:$D$706,4,0),"")</f>
        <v/>
      </c>
    </row>
    <row r="1101" spans="1:5" x14ac:dyDescent="0.3">
      <c r="A1101" t="s">
        <v>1102</v>
      </c>
      <c r="B1101" t="s">
        <v>418</v>
      </c>
      <c r="C1101" t="s">
        <v>927</v>
      </c>
      <c r="D1101" s="1" t="str">
        <f>IFERROR(VLOOKUP(A1101,'MLR Data'!$A$2:$D$706,4,0),"")</f>
        <v/>
      </c>
      <c r="E1101" s="5" t="s">
        <v>42</v>
      </c>
    </row>
    <row r="1102" spans="1:5" x14ac:dyDescent="0.3">
      <c r="A1102" t="s">
        <v>1103</v>
      </c>
      <c r="B1102" t="s">
        <v>418</v>
      </c>
      <c r="C1102" t="s">
        <v>913</v>
      </c>
      <c r="D1102" s="1" t="str">
        <f>IFERROR(VLOOKUP(A1102,'MLR Data'!$A$2:$D$706,4,0),"")</f>
        <v/>
      </c>
      <c r="E1102" s="5" t="s">
        <v>4</v>
      </c>
    </row>
    <row r="1103" spans="1:5" x14ac:dyDescent="0.3">
      <c r="A1103" t="s">
        <v>1104</v>
      </c>
      <c r="B1103" t="s">
        <v>418</v>
      </c>
      <c r="C1103" t="s">
        <v>928</v>
      </c>
      <c r="D1103" s="1" t="str">
        <f>IFERROR(VLOOKUP(A1103,'MLR Data'!$A$2:$D$706,4,0),"")</f>
        <v/>
      </c>
      <c r="E1103" s="5" t="s">
        <v>42</v>
      </c>
    </row>
    <row r="1104" spans="1:5" x14ac:dyDescent="0.3">
      <c r="A1104" t="s">
        <v>1105</v>
      </c>
      <c r="B1104" t="s">
        <v>418</v>
      </c>
      <c r="C1104" t="s">
        <v>535</v>
      </c>
      <c r="D1104" s="1" t="str">
        <f>IFERROR(VLOOKUP(A1104,'MLR Data'!$A$2:$D$706,4,0),"")</f>
        <v/>
      </c>
    </row>
    <row r="1105" spans="1:5" x14ac:dyDescent="0.3">
      <c r="A1105" t="s">
        <v>1106</v>
      </c>
      <c r="B1105" t="s">
        <v>418</v>
      </c>
      <c r="C1105" t="s">
        <v>911</v>
      </c>
      <c r="D1105" s="1" t="str">
        <f>IFERROR(VLOOKUP(A1105,'MLR Data'!$A$2:$D$706,4,0),"")</f>
        <v/>
      </c>
      <c r="E1105" s="5" t="s">
        <v>31</v>
      </c>
    </row>
    <row r="1106" spans="1:5" x14ac:dyDescent="0.3">
      <c r="A1106" t="s">
        <v>1107</v>
      </c>
      <c r="B1106" t="s">
        <v>418</v>
      </c>
      <c r="C1106" t="s">
        <v>910</v>
      </c>
      <c r="D1106" s="1" t="str">
        <f>IFERROR(VLOOKUP(A1106,'MLR Data'!$A$2:$D$706,4,0),"")</f>
        <v/>
      </c>
    </row>
    <row r="1107" spans="1:5" x14ac:dyDescent="0.3">
      <c r="A1107" t="s">
        <v>1108</v>
      </c>
      <c r="B1107" t="s">
        <v>418</v>
      </c>
      <c r="C1107" t="s">
        <v>929</v>
      </c>
      <c r="D1107" s="1" t="str">
        <f>IFERROR(VLOOKUP(A1107,'MLR Data'!$A$2:$D$706,4,0),"")</f>
        <v/>
      </c>
    </row>
    <row r="1108" spans="1:5" x14ac:dyDescent="0.3">
      <c r="A1108" t="s">
        <v>1109</v>
      </c>
      <c r="B1108" t="s">
        <v>418</v>
      </c>
      <c r="C1108" t="s">
        <v>930</v>
      </c>
      <c r="D1108" s="1" t="str">
        <f>IFERROR(VLOOKUP(A1108,'MLR Data'!$A$2:$D$706,4,0),"")</f>
        <v/>
      </c>
    </row>
    <row r="1109" spans="1:5" x14ac:dyDescent="0.3">
      <c r="A1109" t="s">
        <v>1110</v>
      </c>
      <c r="B1109" t="s">
        <v>418</v>
      </c>
      <c r="C1109" t="s">
        <v>724</v>
      </c>
      <c r="D1109" s="1" t="str">
        <f>IFERROR(VLOOKUP(A1109,'MLR Data'!$A$2:$D$706,4,0),"")</f>
        <v/>
      </c>
    </row>
    <row r="1110" spans="1:5" x14ac:dyDescent="0.3">
      <c r="A1110" t="s">
        <v>1111</v>
      </c>
      <c r="B1110" t="s">
        <v>418</v>
      </c>
      <c r="C1110" t="s">
        <v>914</v>
      </c>
      <c r="D1110" s="1" t="str">
        <f>IFERROR(VLOOKUP(A1110,'MLR Data'!$A$2:$D$706,4,0),"")</f>
        <v/>
      </c>
    </row>
    <row r="1111" spans="1:5" x14ac:dyDescent="0.3">
      <c r="A1111" t="s">
        <v>1112</v>
      </c>
      <c r="B1111" t="s">
        <v>418</v>
      </c>
      <c r="C1111" t="s">
        <v>931</v>
      </c>
      <c r="D1111" s="1" t="str">
        <f>IFERROR(VLOOKUP(A1111,'MLR Data'!$A$2:$D$706,4,0),"")</f>
        <v/>
      </c>
    </row>
    <row r="1112" spans="1:5" x14ac:dyDescent="0.3">
      <c r="A1112" t="s">
        <v>1113</v>
      </c>
      <c r="B1112" t="s">
        <v>464</v>
      </c>
      <c r="C1112" t="s">
        <v>416</v>
      </c>
      <c r="D1112" s="1" t="str">
        <f>IFERROR(VLOOKUP(A1112,'MLR Data'!$A$2:$D$706,4,0),"")</f>
        <v/>
      </c>
    </row>
    <row r="1113" spans="1:5" x14ac:dyDescent="0.3">
      <c r="A1113" t="s">
        <v>1114</v>
      </c>
      <c r="B1113" t="s">
        <v>464</v>
      </c>
      <c r="C1113" t="s">
        <v>391</v>
      </c>
      <c r="D1113" s="1" t="str">
        <f>IFERROR(VLOOKUP(A1113,'MLR Data'!$A$2:$D$706,4,0),"")</f>
        <v/>
      </c>
    </row>
    <row r="1114" spans="1:5" x14ac:dyDescent="0.3">
      <c r="A1114" t="s">
        <v>1115</v>
      </c>
      <c r="B1114" t="s">
        <v>464</v>
      </c>
      <c r="C1114" t="s">
        <v>910</v>
      </c>
      <c r="D1114" s="1" t="str">
        <f>IFERROR(VLOOKUP(A1114,'MLR Data'!$A$2:$D$706,4,0),"")</f>
        <v/>
      </c>
    </row>
    <row r="1115" spans="1:5" x14ac:dyDescent="0.3">
      <c r="A1115" t="s">
        <v>1116</v>
      </c>
      <c r="B1115" t="s">
        <v>464</v>
      </c>
      <c r="C1115" t="s">
        <v>431</v>
      </c>
      <c r="D1115" s="1" t="str">
        <f>IFERROR(VLOOKUP(A1115,'MLR Data'!$A$2:$D$706,4,0),"")</f>
        <v/>
      </c>
    </row>
    <row r="1116" spans="1:5" x14ac:dyDescent="0.3">
      <c r="A1116" t="s">
        <v>1117</v>
      </c>
      <c r="B1116" t="s">
        <v>464</v>
      </c>
      <c r="C1116" t="s">
        <v>916</v>
      </c>
      <c r="D1116" s="1" t="str">
        <f>IFERROR(VLOOKUP(A1116,'MLR Data'!$A$2:$D$706,4,0),"")</f>
        <v/>
      </c>
    </row>
    <row r="1117" spans="1:5" x14ac:dyDescent="0.3">
      <c r="A1117" t="s">
        <v>1118</v>
      </c>
      <c r="B1117" t="s">
        <v>464</v>
      </c>
      <c r="C1117" t="s">
        <v>52</v>
      </c>
      <c r="D1117" s="1" t="str">
        <f>IFERROR(VLOOKUP(A1117,'MLR Data'!$A$2:$D$706,4,0),"")</f>
        <v>Colorado Choice Health Plans</v>
      </c>
      <c r="E1117" s="5" t="s">
        <v>52</v>
      </c>
    </row>
    <row r="1118" spans="1:5" x14ac:dyDescent="0.3">
      <c r="A1118" t="s">
        <v>1119</v>
      </c>
      <c r="B1118" t="s">
        <v>464</v>
      </c>
      <c r="C1118" t="s">
        <v>911</v>
      </c>
      <c r="D1118" s="1" t="str">
        <f>IFERROR(VLOOKUP(A1118,'MLR Data'!$A$2:$D$706,4,0),"")</f>
        <v/>
      </c>
    </row>
    <row r="1119" spans="1:5" x14ac:dyDescent="0.3">
      <c r="A1119" t="s">
        <v>1120</v>
      </c>
      <c r="B1119" t="s">
        <v>464</v>
      </c>
      <c r="C1119" t="s">
        <v>383</v>
      </c>
      <c r="D1119" s="1" t="str">
        <f>IFERROR(VLOOKUP(A1119,'MLR Data'!$A$2:$D$706,4,0),"")</f>
        <v/>
      </c>
    </row>
    <row r="1120" spans="1:5" x14ac:dyDescent="0.3">
      <c r="A1120" t="s">
        <v>1121</v>
      </c>
      <c r="B1120" t="s">
        <v>464</v>
      </c>
      <c r="C1120" t="s">
        <v>913</v>
      </c>
      <c r="D1120" s="1" t="str">
        <f>IFERROR(VLOOKUP(A1120,'MLR Data'!$A$2:$D$706,4,0),"")</f>
        <v/>
      </c>
      <c r="E1120" s="5" t="s">
        <v>4</v>
      </c>
    </row>
    <row r="1121" spans="1:5" x14ac:dyDescent="0.3">
      <c r="A1121" t="s">
        <v>1122</v>
      </c>
      <c r="B1121" t="s">
        <v>464</v>
      </c>
      <c r="C1121" t="s">
        <v>546</v>
      </c>
      <c r="D1121" s="1" t="str">
        <f>IFERROR(VLOOKUP(A1121,'MLR Data'!$A$2:$D$706,4,0),"")</f>
        <v/>
      </c>
    </row>
    <row r="1122" spans="1:5" x14ac:dyDescent="0.3">
      <c r="A1122" t="s">
        <v>1123</v>
      </c>
      <c r="B1122" t="s">
        <v>464</v>
      </c>
      <c r="C1122" t="s">
        <v>932</v>
      </c>
      <c r="D1122" s="1" t="str">
        <f>IFERROR(VLOOKUP(A1122,'MLR Data'!$A$2:$D$706,4,0),"")</f>
        <v/>
      </c>
      <c r="E1122" s="5" t="s">
        <v>53</v>
      </c>
    </row>
    <row r="1123" spans="1:5" x14ac:dyDescent="0.3">
      <c r="A1123" t="s">
        <v>1124</v>
      </c>
      <c r="B1123" t="s">
        <v>464</v>
      </c>
      <c r="C1123" t="s">
        <v>933</v>
      </c>
      <c r="D1123" s="1" t="str">
        <f>IFERROR(VLOOKUP(A1123,'MLR Data'!$A$2:$D$706,4,0),"")</f>
        <v/>
      </c>
    </row>
    <row r="1124" spans="1:5" x14ac:dyDescent="0.3">
      <c r="A1124" t="s">
        <v>1125</v>
      </c>
      <c r="B1124" t="s">
        <v>464</v>
      </c>
      <c r="C1124" t="s">
        <v>504</v>
      </c>
      <c r="D1124" s="1" t="str">
        <f>IFERROR(VLOOKUP(A1124,'MLR Data'!$A$2:$D$706,4,0),"")</f>
        <v/>
      </c>
      <c r="E1124" s="5" t="s">
        <v>20</v>
      </c>
    </row>
    <row r="1125" spans="1:5" x14ac:dyDescent="0.3">
      <c r="A1125" t="s">
        <v>1126</v>
      </c>
      <c r="B1125" t="s">
        <v>474</v>
      </c>
      <c r="C1125" t="s">
        <v>118</v>
      </c>
      <c r="D1125" s="1" t="str">
        <f>IFERROR(VLOOKUP(A1125,'MLR Data'!$A$2:$D$706,4,0),"")</f>
        <v/>
      </c>
      <c r="E1125" s="5" t="s">
        <v>61</v>
      </c>
    </row>
    <row r="1126" spans="1:5" x14ac:dyDescent="0.3">
      <c r="A1126" t="s">
        <v>1127</v>
      </c>
      <c r="B1126" t="s">
        <v>474</v>
      </c>
      <c r="C1126" t="s">
        <v>384</v>
      </c>
      <c r="D1126" s="1" t="str">
        <f>IFERROR(VLOOKUP(A1126,'MLR Data'!$A$2:$D$706,4,0),"")</f>
        <v/>
      </c>
    </row>
    <row r="1127" spans="1:5" x14ac:dyDescent="0.3">
      <c r="A1127" t="s">
        <v>1128</v>
      </c>
      <c r="B1127" t="s">
        <v>474</v>
      </c>
      <c r="C1127" t="s">
        <v>368</v>
      </c>
      <c r="D1127" s="1" t="str">
        <f>IFERROR(VLOOKUP(A1127,'MLR Data'!$A$2:$D$706,4,0),"")</f>
        <v/>
      </c>
      <c r="E1127" s="5" t="s">
        <v>20</v>
      </c>
    </row>
    <row r="1128" spans="1:5" x14ac:dyDescent="0.3">
      <c r="A1128" t="s">
        <v>1129</v>
      </c>
      <c r="B1128" t="s">
        <v>474</v>
      </c>
      <c r="C1128" t="s">
        <v>416</v>
      </c>
      <c r="D1128" s="1" t="str">
        <f>IFERROR(VLOOKUP(A1128,'MLR Data'!$A$2:$D$706,4,0),"")</f>
        <v/>
      </c>
    </row>
    <row r="1129" spans="1:5" x14ac:dyDescent="0.3">
      <c r="A1129" t="s">
        <v>1130</v>
      </c>
      <c r="B1129" t="s">
        <v>474</v>
      </c>
      <c r="C1129" t="s">
        <v>431</v>
      </c>
      <c r="D1129" s="1" t="str">
        <f>IFERROR(VLOOKUP(A1129,'MLR Data'!$A$2:$D$706,4,0),"")</f>
        <v/>
      </c>
    </row>
    <row r="1130" spans="1:5" x14ac:dyDescent="0.3">
      <c r="A1130" t="s">
        <v>1131</v>
      </c>
      <c r="B1130" t="s">
        <v>474</v>
      </c>
      <c r="C1130" t="s">
        <v>390</v>
      </c>
      <c r="D1130" s="1" t="str">
        <f>IFERROR(VLOOKUP(A1130,'MLR Data'!$A$2:$D$706,4,0),"")</f>
        <v/>
      </c>
    </row>
    <row r="1131" spans="1:5" x14ac:dyDescent="0.3">
      <c r="A1131" t="s">
        <v>1132</v>
      </c>
      <c r="B1131" t="s">
        <v>474</v>
      </c>
      <c r="C1131" t="s">
        <v>387</v>
      </c>
      <c r="D1131" s="1" t="str">
        <f>IFERROR(VLOOKUP(A1131,'MLR Data'!$A$2:$D$706,4,0),"")</f>
        <v/>
      </c>
      <c r="E1131" s="5" t="s">
        <v>4</v>
      </c>
    </row>
    <row r="1132" spans="1:5" x14ac:dyDescent="0.3">
      <c r="A1132" t="s">
        <v>1133</v>
      </c>
      <c r="B1132" t="s">
        <v>474</v>
      </c>
      <c r="C1132" t="s">
        <v>914</v>
      </c>
      <c r="D1132" s="1" t="str">
        <f>IFERROR(VLOOKUP(A1132,'MLR Data'!$A$2:$D$706,4,0),"")</f>
        <v/>
      </c>
    </row>
    <row r="1133" spans="1:5" x14ac:dyDescent="0.3">
      <c r="A1133" t="s">
        <v>1134</v>
      </c>
      <c r="B1133" t="s">
        <v>474</v>
      </c>
      <c r="C1133" t="s">
        <v>415</v>
      </c>
      <c r="D1133" s="1" t="str">
        <f>IFERROR(VLOOKUP(A1133,'MLR Data'!$A$2:$D$706,4,0),"")</f>
        <v/>
      </c>
      <c r="E1133" s="5" t="s">
        <v>16</v>
      </c>
    </row>
    <row r="1134" spans="1:5" x14ac:dyDescent="0.3">
      <c r="A1134" t="s">
        <v>1135</v>
      </c>
      <c r="B1134" t="s">
        <v>474</v>
      </c>
      <c r="C1134" t="s">
        <v>372</v>
      </c>
      <c r="D1134" s="1" t="str">
        <f>IFERROR(VLOOKUP(A1134,'MLR Data'!$A$2:$D$706,4,0),"")</f>
        <v/>
      </c>
      <c r="E1134" s="5" t="s">
        <v>15</v>
      </c>
    </row>
    <row r="1135" spans="1:5" x14ac:dyDescent="0.3">
      <c r="A1135" t="s">
        <v>1136</v>
      </c>
      <c r="B1135" t="s">
        <v>474</v>
      </c>
      <c r="C1135" t="s">
        <v>913</v>
      </c>
      <c r="D1135" s="1" t="str">
        <f>IFERROR(VLOOKUP(A1135,'MLR Data'!$A$2:$D$706,4,0),"")</f>
        <v/>
      </c>
      <c r="E1135" s="5" t="s">
        <v>4</v>
      </c>
    </row>
    <row r="1136" spans="1:5" x14ac:dyDescent="0.3">
      <c r="A1136" t="s">
        <v>1137</v>
      </c>
      <c r="B1136" t="s">
        <v>474</v>
      </c>
      <c r="C1136" t="s">
        <v>934</v>
      </c>
      <c r="D1136" s="1" t="str">
        <f>IFERROR(VLOOKUP(A1136,'MLR Data'!$A$2:$D$706,4,0),"")</f>
        <v/>
      </c>
      <c r="E1136" s="5" t="s">
        <v>62</v>
      </c>
    </row>
    <row r="1137" spans="1:5" x14ac:dyDescent="0.3">
      <c r="A1137" t="s">
        <v>1138</v>
      </c>
      <c r="B1137" t="s">
        <v>474</v>
      </c>
      <c r="C1137" t="s">
        <v>374</v>
      </c>
      <c r="D1137" s="1" t="str">
        <f>IFERROR(VLOOKUP(A1137,'MLR Data'!$A$2:$D$706,4,0),"")</f>
        <v/>
      </c>
    </row>
    <row r="1138" spans="1:5" x14ac:dyDescent="0.3">
      <c r="A1138" t="s">
        <v>1139</v>
      </c>
      <c r="B1138" t="s">
        <v>474</v>
      </c>
      <c r="C1138" t="s">
        <v>935</v>
      </c>
      <c r="D1138" s="1" t="str">
        <f>IFERROR(VLOOKUP(A1138,'MLR Data'!$A$2:$D$706,4,0),"")</f>
        <v/>
      </c>
      <c r="E1138" s="5" t="s">
        <v>20</v>
      </c>
    </row>
    <row r="1139" spans="1:5" x14ac:dyDescent="0.3">
      <c r="A1139" t="s">
        <v>1140</v>
      </c>
      <c r="B1139" t="s">
        <v>474</v>
      </c>
      <c r="C1139" t="s">
        <v>909</v>
      </c>
      <c r="D1139" s="1" t="str">
        <f>IFERROR(VLOOKUP(A1139,'MLR Data'!$A$2:$D$706,4,0),"")</f>
        <v/>
      </c>
      <c r="E1139" s="5" t="s">
        <v>16</v>
      </c>
    </row>
    <row r="1140" spans="1:5" x14ac:dyDescent="0.3">
      <c r="A1140" t="s">
        <v>1141</v>
      </c>
      <c r="B1140" t="s">
        <v>479</v>
      </c>
      <c r="C1140" t="s">
        <v>936</v>
      </c>
      <c r="D1140" s="1" t="str">
        <f>IFERROR(VLOOKUP(A1140,'MLR Data'!$A$2:$D$706,4,0),"")</f>
        <v/>
      </c>
    </row>
    <row r="1141" spans="1:5" x14ac:dyDescent="0.3">
      <c r="A1141" t="s">
        <v>1142</v>
      </c>
      <c r="B1141" t="s">
        <v>479</v>
      </c>
      <c r="C1141" t="s">
        <v>535</v>
      </c>
      <c r="D1141" s="1" t="str">
        <f>IFERROR(VLOOKUP(A1141,'MLR Data'!$A$2:$D$706,4,0),"")</f>
        <v/>
      </c>
    </row>
    <row r="1142" spans="1:5" x14ac:dyDescent="0.3">
      <c r="A1142" t="s">
        <v>1143</v>
      </c>
      <c r="B1142" t="s">
        <v>479</v>
      </c>
      <c r="C1142" t="s">
        <v>916</v>
      </c>
      <c r="D1142" s="1" t="str">
        <f>IFERROR(VLOOKUP(A1142,'MLR Data'!$A$2:$D$706,4,0),"")</f>
        <v/>
      </c>
    </row>
    <row r="1143" spans="1:5" x14ac:dyDescent="0.3">
      <c r="A1143" t="s">
        <v>1144</v>
      </c>
      <c r="B1143" t="s">
        <v>479</v>
      </c>
      <c r="C1143" t="s">
        <v>381</v>
      </c>
      <c r="D1143" s="1" t="str">
        <f>IFERROR(VLOOKUP(A1143,'MLR Data'!$A$2:$D$706,4,0),"")</f>
        <v/>
      </c>
    </row>
    <row r="1144" spans="1:5" x14ac:dyDescent="0.3">
      <c r="A1144" t="s">
        <v>1145</v>
      </c>
      <c r="B1144" t="s">
        <v>479</v>
      </c>
      <c r="C1144" t="s">
        <v>431</v>
      </c>
      <c r="D1144" s="1" t="str">
        <f>IFERROR(VLOOKUP(A1144,'MLR Data'!$A$2:$D$706,4,0),"")</f>
        <v/>
      </c>
    </row>
    <row r="1145" spans="1:5" x14ac:dyDescent="0.3">
      <c r="A1145" t="s">
        <v>1146</v>
      </c>
      <c r="B1145" t="s">
        <v>479</v>
      </c>
      <c r="C1145" t="s">
        <v>415</v>
      </c>
      <c r="D1145" s="1" t="str">
        <f>IFERROR(VLOOKUP(A1145,'MLR Data'!$A$2:$D$706,4,0),"")</f>
        <v/>
      </c>
    </row>
    <row r="1146" spans="1:5" x14ac:dyDescent="0.3">
      <c r="A1146" t="s">
        <v>1147</v>
      </c>
      <c r="B1146" t="s">
        <v>479</v>
      </c>
      <c r="C1146" t="s">
        <v>390</v>
      </c>
      <c r="D1146" s="1" t="str">
        <f>IFERROR(VLOOKUP(A1146,'MLR Data'!$A$2:$D$706,4,0),"")</f>
        <v/>
      </c>
    </row>
    <row r="1147" spans="1:5" x14ac:dyDescent="0.3">
      <c r="A1147" t="s">
        <v>1148</v>
      </c>
      <c r="B1147" t="s">
        <v>479</v>
      </c>
      <c r="C1147" t="s">
        <v>909</v>
      </c>
      <c r="D1147" s="1" t="str">
        <f>IFERROR(VLOOKUP(A1147,'MLR Data'!$A$2:$D$706,4,0),"")</f>
        <v/>
      </c>
    </row>
    <row r="1148" spans="1:5" x14ac:dyDescent="0.3">
      <c r="A1148" t="s">
        <v>1149</v>
      </c>
      <c r="B1148" t="s">
        <v>479</v>
      </c>
      <c r="C1148" t="s">
        <v>372</v>
      </c>
      <c r="D1148" s="1" t="str">
        <f>IFERROR(VLOOKUP(A1148,'MLR Data'!$A$2:$D$706,4,0),"")</f>
        <v/>
      </c>
      <c r="E1148" s="5" t="s">
        <v>15</v>
      </c>
    </row>
    <row r="1149" spans="1:5" x14ac:dyDescent="0.3">
      <c r="A1149" t="s">
        <v>1150</v>
      </c>
      <c r="B1149" t="s">
        <v>479</v>
      </c>
      <c r="C1149" t="s">
        <v>913</v>
      </c>
      <c r="D1149" s="1" t="str">
        <f>IFERROR(VLOOKUP(A1149,'MLR Data'!$A$2:$D$706,4,0),"")</f>
        <v/>
      </c>
      <c r="E1149" s="5" t="s">
        <v>4</v>
      </c>
    </row>
    <row r="1150" spans="1:5" x14ac:dyDescent="0.3">
      <c r="A1150" t="s">
        <v>1151</v>
      </c>
      <c r="B1150" t="s">
        <v>482</v>
      </c>
      <c r="C1150" t="s">
        <v>383</v>
      </c>
      <c r="D1150" s="1" t="str">
        <f>IFERROR(VLOOKUP(A1150,'MLR Data'!$A$2:$D$706,4,0),"")</f>
        <v/>
      </c>
    </row>
    <row r="1151" spans="1:5" x14ac:dyDescent="0.3">
      <c r="A1151" t="s">
        <v>1152</v>
      </c>
      <c r="B1151" t="s">
        <v>482</v>
      </c>
      <c r="C1151" t="s">
        <v>916</v>
      </c>
      <c r="D1151" s="1" t="str">
        <f>IFERROR(VLOOKUP(A1151,'MLR Data'!$A$2:$D$706,4,0),"")</f>
        <v/>
      </c>
    </row>
    <row r="1152" spans="1:5" x14ac:dyDescent="0.3">
      <c r="A1152" t="s">
        <v>1153</v>
      </c>
      <c r="B1152" t="s">
        <v>482</v>
      </c>
      <c r="C1152" t="s">
        <v>909</v>
      </c>
      <c r="D1152" s="1" t="str">
        <f>IFERROR(VLOOKUP(A1152,'MLR Data'!$A$2:$D$706,4,0),"")</f>
        <v/>
      </c>
      <c r="E1152" s="5" t="s">
        <v>16</v>
      </c>
    </row>
    <row r="1153" spans="1:5" x14ac:dyDescent="0.3">
      <c r="A1153" t="s">
        <v>1154</v>
      </c>
      <c r="B1153" t="s">
        <v>482</v>
      </c>
      <c r="C1153" t="s">
        <v>415</v>
      </c>
      <c r="D1153" s="1" t="str">
        <f>IFERROR(VLOOKUP(A1153,'MLR Data'!$A$2:$D$706,4,0),"")</f>
        <v/>
      </c>
      <c r="E1153" s="5" t="s">
        <v>16</v>
      </c>
    </row>
    <row r="1154" spans="1:5" x14ac:dyDescent="0.3">
      <c r="A1154" t="s">
        <v>1155</v>
      </c>
      <c r="B1154" t="s">
        <v>482</v>
      </c>
      <c r="C1154" t="s">
        <v>391</v>
      </c>
      <c r="D1154" s="1" t="str">
        <f>IFERROR(VLOOKUP(A1154,'MLR Data'!$A$2:$D$706,4,0),"")</f>
        <v/>
      </c>
    </row>
    <row r="1155" spans="1:5" x14ac:dyDescent="0.3">
      <c r="A1155" t="s">
        <v>1156</v>
      </c>
      <c r="B1155" t="s">
        <v>482</v>
      </c>
      <c r="C1155" t="s">
        <v>431</v>
      </c>
      <c r="D1155" s="1" t="str">
        <f>IFERROR(VLOOKUP(A1155,'MLR Data'!$A$2:$D$706,4,0),"")</f>
        <v/>
      </c>
    </row>
    <row r="1156" spans="1:5" x14ac:dyDescent="0.3">
      <c r="A1156" t="s">
        <v>1157</v>
      </c>
      <c r="B1156" t="s">
        <v>482</v>
      </c>
      <c r="C1156" t="s">
        <v>937</v>
      </c>
      <c r="D1156" s="1" t="str">
        <f>IFERROR(VLOOKUP(A1156,'MLR Data'!$A$2:$D$706,4,0),"")</f>
        <v/>
      </c>
    </row>
    <row r="1157" spans="1:5" x14ac:dyDescent="0.3">
      <c r="A1157" t="s">
        <v>1158</v>
      </c>
      <c r="B1157" t="s">
        <v>482</v>
      </c>
      <c r="C1157" t="s">
        <v>429</v>
      </c>
      <c r="D1157" s="1" t="str">
        <f>IFERROR(VLOOKUP(A1157,'MLR Data'!$A$2:$D$706,4,0),"")</f>
        <v/>
      </c>
      <c r="E1157" s="5" t="s">
        <v>9</v>
      </c>
    </row>
    <row r="1158" spans="1:5" x14ac:dyDescent="0.3">
      <c r="A1158" t="s">
        <v>1159</v>
      </c>
      <c r="B1158" t="s">
        <v>482</v>
      </c>
      <c r="C1158" t="s">
        <v>374</v>
      </c>
      <c r="D1158" s="1" t="str">
        <f>IFERROR(VLOOKUP(A1158,'MLR Data'!$A$2:$D$706,4,0),"")</f>
        <v/>
      </c>
    </row>
    <row r="1159" spans="1:5" x14ac:dyDescent="0.3">
      <c r="A1159" t="s">
        <v>1160</v>
      </c>
      <c r="B1159" t="s">
        <v>482</v>
      </c>
      <c r="C1159" t="s">
        <v>535</v>
      </c>
      <c r="D1159" s="1" t="str">
        <f>IFERROR(VLOOKUP(A1159,'MLR Data'!$A$2:$D$706,4,0),"")</f>
        <v/>
      </c>
    </row>
    <row r="1160" spans="1:5" x14ac:dyDescent="0.3">
      <c r="A1160" t="s">
        <v>1161</v>
      </c>
      <c r="B1160" t="s">
        <v>482</v>
      </c>
      <c r="C1160" t="s">
        <v>938</v>
      </c>
      <c r="D1160" s="1" t="str">
        <f>IFERROR(VLOOKUP(A1160,'MLR Data'!$A$2:$D$706,4,0),"")</f>
        <v/>
      </c>
      <c r="E1160" s="5" t="s">
        <v>87</v>
      </c>
    </row>
    <row r="1161" spans="1:5" x14ac:dyDescent="0.3">
      <c r="A1161" t="s">
        <v>1162</v>
      </c>
      <c r="B1161" t="s">
        <v>482</v>
      </c>
      <c r="C1161" t="s">
        <v>913</v>
      </c>
      <c r="D1161" s="1" t="str">
        <f>IFERROR(VLOOKUP(A1161,'MLR Data'!$A$2:$D$706,4,0),"")</f>
        <v/>
      </c>
      <c r="E1161" s="5" t="s">
        <v>4</v>
      </c>
    </row>
    <row r="1162" spans="1:5" x14ac:dyDescent="0.3">
      <c r="A1162" t="s">
        <v>1163</v>
      </c>
      <c r="B1162" t="s">
        <v>482</v>
      </c>
      <c r="C1162" t="s">
        <v>910</v>
      </c>
      <c r="D1162" s="1" t="str">
        <f>IFERROR(VLOOKUP(A1162,'MLR Data'!$A$2:$D$706,4,0),"")</f>
        <v/>
      </c>
    </row>
    <row r="1163" spans="1:5" x14ac:dyDescent="0.3">
      <c r="A1163" t="s">
        <v>1164</v>
      </c>
      <c r="B1163" t="s">
        <v>482</v>
      </c>
      <c r="C1163" t="s">
        <v>939</v>
      </c>
      <c r="D1163" s="1" t="str">
        <f>IFERROR(VLOOKUP(A1163,'MLR Data'!$A$2:$D$706,4,0),"")</f>
        <v/>
      </c>
      <c r="E1163" s="5" t="s">
        <v>74</v>
      </c>
    </row>
    <row r="1164" spans="1:5" x14ac:dyDescent="0.3">
      <c r="A1164" t="s">
        <v>1165</v>
      </c>
      <c r="B1164" t="s">
        <v>482</v>
      </c>
      <c r="C1164" t="s">
        <v>940</v>
      </c>
      <c r="D1164" s="1" t="str">
        <f>IFERROR(VLOOKUP(A1164,'MLR Data'!$A$2:$D$706,4,0),"")</f>
        <v/>
      </c>
      <c r="E1164" s="5" t="s">
        <v>75</v>
      </c>
    </row>
    <row r="1165" spans="1:5" x14ac:dyDescent="0.3">
      <c r="A1165" t="s">
        <v>1166</v>
      </c>
      <c r="B1165" t="s">
        <v>482</v>
      </c>
      <c r="C1165" t="s">
        <v>941</v>
      </c>
      <c r="D1165" s="1" t="str">
        <f>IFERROR(VLOOKUP(A1165,'MLR Data'!$A$2:$D$706,4,0),"")</f>
        <v/>
      </c>
      <c r="E1165" s="5" t="s">
        <v>80</v>
      </c>
    </row>
    <row r="1166" spans="1:5" x14ac:dyDescent="0.3">
      <c r="A1166" t="s">
        <v>1167</v>
      </c>
      <c r="B1166" t="s">
        <v>482</v>
      </c>
      <c r="C1166" t="s">
        <v>793</v>
      </c>
      <c r="D1166" s="1" t="str">
        <f>IFERROR(VLOOKUP(A1166,'MLR Data'!$A$2:$D$706,4,0),"")</f>
        <v/>
      </c>
    </row>
    <row r="1167" spans="1:5" x14ac:dyDescent="0.3">
      <c r="A1167" t="s">
        <v>1168</v>
      </c>
      <c r="B1167" t="s">
        <v>482</v>
      </c>
      <c r="C1167" t="s">
        <v>408</v>
      </c>
      <c r="D1167" s="1" t="str">
        <f>IFERROR(VLOOKUP(A1167,'MLR Data'!$A$2:$D$706,4,0),"")</f>
        <v/>
      </c>
    </row>
    <row r="1168" spans="1:5" x14ac:dyDescent="0.3">
      <c r="A1168" t="s">
        <v>1169</v>
      </c>
      <c r="B1168" t="s">
        <v>482</v>
      </c>
      <c r="C1168" t="s">
        <v>942</v>
      </c>
      <c r="D1168" s="1" t="str">
        <f>IFERROR(VLOOKUP(A1168,'MLR Data'!$A$2:$D$706,4,0),"")</f>
        <v/>
      </c>
      <c r="E1168" s="5" t="s">
        <v>75</v>
      </c>
    </row>
    <row r="1169" spans="1:5" x14ac:dyDescent="0.3">
      <c r="A1169" t="s">
        <v>1170</v>
      </c>
      <c r="B1169" t="s">
        <v>482</v>
      </c>
      <c r="C1169" t="s">
        <v>943</v>
      </c>
      <c r="D1169" s="1" t="str">
        <f>IFERROR(VLOOKUP(A1169,'MLR Data'!$A$2:$D$706,4,0),"")</f>
        <v/>
      </c>
    </row>
    <row r="1170" spans="1:5" x14ac:dyDescent="0.3">
      <c r="A1170" t="s">
        <v>1171</v>
      </c>
      <c r="B1170" t="s">
        <v>482</v>
      </c>
      <c r="C1170" t="s">
        <v>944</v>
      </c>
      <c r="D1170" s="1" t="str">
        <f>IFERROR(VLOOKUP(A1170,'MLR Data'!$A$2:$D$706,4,0),"")</f>
        <v/>
      </c>
    </row>
    <row r="1171" spans="1:5" x14ac:dyDescent="0.3">
      <c r="A1171" t="s">
        <v>1172</v>
      </c>
      <c r="B1171" t="s">
        <v>482</v>
      </c>
      <c r="C1171" t="s">
        <v>945</v>
      </c>
      <c r="D1171" s="1" t="str">
        <f>IFERROR(VLOOKUP(A1171,'MLR Data'!$A$2:$D$706,4,0),"")</f>
        <v/>
      </c>
    </row>
    <row r="1172" spans="1:5" x14ac:dyDescent="0.3">
      <c r="A1172" t="s">
        <v>1173</v>
      </c>
      <c r="B1172" t="s">
        <v>482</v>
      </c>
      <c r="C1172" t="s">
        <v>946</v>
      </c>
      <c r="D1172" s="1" t="str">
        <f>IFERROR(VLOOKUP(A1172,'MLR Data'!$A$2:$D$706,4,0),"")</f>
        <v/>
      </c>
      <c r="E1172" s="5" t="s">
        <v>75</v>
      </c>
    </row>
    <row r="1173" spans="1:5" x14ac:dyDescent="0.3">
      <c r="A1173" t="s">
        <v>1174</v>
      </c>
      <c r="B1173" t="s">
        <v>482</v>
      </c>
      <c r="C1173" t="s">
        <v>947</v>
      </c>
      <c r="D1173" s="1" t="str">
        <f>IFERROR(VLOOKUP(A1173,'MLR Data'!$A$2:$D$706,4,0),"")</f>
        <v/>
      </c>
      <c r="E1173" s="5" t="s">
        <v>75</v>
      </c>
    </row>
    <row r="1174" spans="1:5" x14ac:dyDescent="0.3">
      <c r="A1174" t="s">
        <v>1175</v>
      </c>
      <c r="B1174" t="s">
        <v>482</v>
      </c>
      <c r="C1174" t="s">
        <v>948</v>
      </c>
      <c r="D1174" s="1" t="str">
        <f>IFERROR(VLOOKUP(A1174,'MLR Data'!$A$2:$D$706,4,0),"")</f>
        <v/>
      </c>
    </row>
    <row r="1175" spans="1:5" x14ac:dyDescent="0.3">
      <c r="A1175" t="s">
        <v>1176</v>
      </c>
      <c r="B1175" t="s">
        <v>523</v>
      </c>
      <c r="C1175" t="s">
        <v>777</v>
      </c>
      <c r="D1175" s="1" t="str">
        <f>IFERROR(VLOOKUP(A1175,'MLR Data'!$A$2:$D$706,4,0),"")</f>
        <v/>
      </c>
    </row>
    <row r="1176" spans="1:5" x14ac:dyDescent="0.3">
      <c r="A1176" t="s">
        <v>1177</v>
      </c>
      <c r="B1176" t="s">
        <v>523</v>
      </c>
      <c r="C1176" t="s">
        <v>431</v>
      </c>
      <c r="D1176" s="1" t="str">
        <f>IFERROR(VLOOKUP(A1176,'MLR Data'!$A$2:$D$706,4,0),"")</f>
        <v/>
      </c>
    </row>
    <row r="1177" spans="1:5" x14ac:dyDescent="0.3">
      <c r="A1177" t="s">
        <v>1178</v>
      </c>
      <c r="B1177" t="s">
        <v>523</v>
      </c>
      <c r="C1177" t="s">
        <v>451</v>
      </c>
      <c r="D1177" s="1" t="str">
        <f>IFERROR(VLOOKUP(A1177,'MLR Data'!$A$2:$D$706,4,0),"")</f>
        <v/>
      </c>
    </row>
    <row r="1178" spans="1:5" x14ac:dyDescent="0.3">
      <c r="A1178" t="s">
        <v>1179</v>
      </c>
      <c r="B1178" t="s">
        <v>523</v>
      </c>
      <c r="C1178" t="s">
        <v>779</v>
      </c>
      <c r="D1178" s="1" t="str">
        <f>IFERROR(VLOOKUP(A1178,'MLR Data'!$A$2:$D$706,4,0),"")</f>
        <v/>
      </c>
    </row>
    <row r="1179" spans="1:5" x14ac:dyDescent="0.3">
      <c r="A1179" t="s">
        <v>1180</v>
      </c>
      <c r="B1179" t="s">
        <v>523</v>
      </c>
      <c r="C1179" t="s">
        <v>385</v>
      </c>
      <c r="D1179" s="1" t="str">
        <f>IFERROR(VLOOKUP(A1179,'MLR Data'!$A$2:$D$706,4,0),"")</f>
        <v/>
      </c>
    </row>
    <row r="1180" spans="1:5" x14ac:dyDescent="0.3">
      <c r="A1180" t="s">
        <v>1181</v>
      </c>
      <c r="B1180" t="s">
        <v>523</v>
      </c>
      <c r="C1180" t="s">
        <v>910</v>
      </c>
      <c r="D1180" s="1" t="str">
        <f>IFERROR(VLOOKUP(A1180,'MLR Data'!$A$2:$D$706,4,0),"")</f>
        <v/>
      </c>
    </row>
    <row r="1181" spans="1:5" x14ac:dyDescent="0.3">
      <c r="A1181" t="s">
        <v>1182</v>
      </c>
      <c r="B1181" t="s">
        <v>523</v>
      </c>
      <c r="C1181" t="s">
        <v>949</v>
      </c>
      <c r="D1181" s="1" t="str">
        <f>IFERROR(VLOOKUP(A1181,'MLR Data'!$A$2:$D$706,4,0),"")</f>
        <v/>
      </c>
    </row>
    <row r="1182" spans="1:5" x14ac:dyDescent="0.3">
      <c r="A1182" t="s">
        <v>1183</v>
      </c>
      <c r="B1182" t="s">
        <v>523</v>
      </c>
      <c r="C1182" t="s">
        <v>911</v>
      </c>
      <c r="D1182" s="1" t="str">
        <f>IFERROR(VLOOKUP(A1182,'MLR Data'!$A$2:$D$706,4,0),"")</f>
        <v/>
      </c>
      <c r="E1182" s="5" t="s">
        <v>31</v>
      </c>
    </row>
    <row r="1183" spans="1:5" x14ac:dyDescent="0.3">
      <c r="A1183" t="s">
        <v>1184</v>
      </c>
      <c r="B1183" t="s">
        <v>523</v>
      </c>
      <c r="C1183" t="s">
        <v>913</v>
      </c>
      <c r="D1183" s="1" t="str">
        <f>IFERROR(VLOOKUP(A1183,'MLR Data'!$A$2:$D$706,4,0),"")</f>
        <v/>
      </c>
      <c r="E1183" s="5" t="s">
        <v>4</v>
      </c>
    </row>
    <row r="1184" spans="1:5" x14ac:dyDescent="0.3">
      <c r="A1184" t="s">
        <v>1185</v>
      </c>
      <c r="B1184" t="s">
        <v>523</v>
      </c>
      <c r="C1184" t="s">
        <v>950</v>
      </c>
      <c r="D1184" s="1" t="str">
        <f>IFERROR(VLOOKUP(A1184,'MLR Data'!$A$2:$D$706,4,0),"")</f>
        <v/>
      </c>
      <c r="E1184" s="5" t="s">
        <v>94</v>
      </c>
    </row>
    <row r="1185" spans="1:5" x14ac:dyDescent="0.3">
      <c r="A1185" t="s">
        <v>1186</v>
      </c>
      <c r="B1185" t="s">
        <v>523</v>
      </c>
      <c r="C1185" t="s">
        <v>461</v>
      </c>
      <c r="D1185" s="1" t="str">
        <f>IFERROR(VLOOKUP(A1185,'MLR Data'!$A$2:$D$706,4,0),"")</f>
        <v/>
      </c>
    </row>
    <row r="1186" spans="1:5" x14ac:dyDescent="0.3">
      <c r="A1186" t="s">
        <v>1187</v>
      </c>
      <c r="B1186" t="s">
        <v>523</v>
      </c>
      <c r="C1186" t="s">
        <v>467</v>
      </c>
      <c r="D1186" s="1" t="str">
        <f>IFERROR(VLOOKUP(A1186,'MLR Data'!$A$2:$D$706,4,0),"")</f>
        <v/>
      </c>
      <c r="E1186" s="5" t="s">
        <v>94</v>
      </c>
    </row>
    <row r="1187" spans="1:5" x14ac:dyDescent="0.3">
      <c r="A1187" t="s">
        <v>1188</v>
      </c>
      <c r="B1187" t="s">
        <v>523</v>
      </c>
      <c r="C1187" t="s">
        <v>380</v>
      </c>
      <c r="D1187" s="1" t="str">
        <f>IFERROR(VLOOKUP(A1187,'MLR Data'!$A$2:$D$706,4,0),"")</f>
        <v/>
      </c>
      <c r="E1187" s="5" t="s">
        <v>35</v>
      </c>
    </row>
    <row r="1188" spans="1:5" x14ac:dyDescent="0.3">
      <c r="A1188" t="s">
        <v>1189</v>
      </c>
      <c r="B1188" t="s">
        <v>523</v>
      </c>
      <c r="C1188" t="s">
        <v>921</v>
      </c>
      <c r="D1188" s="1" t="str">
        <f>IFERROR(VLOOKUP(A1188,'MLR Data'!$A$2:$D$706,4,0),"")</f>
        <v/>
      </c>
      <c r="E1188" s="5" t="s">
        <v>4</v>
      </c>
    </row>
    <row r="1189" spans="1:5" x14ac:dyDescent="0.3">
      <c r="A1189" t="s">
        <v>1190</v>
      </c>
      <c r="B1189" t="s">
        <v>523</v>
      </c>
      <c r="C1189" t="s">
        <v>374</v>
      </c>
      <c r="D1189" s="1" t="str">
        <f>IFERROR(VLOOKUP(A1189,'MLR Data'!$A$2:$D$706,4,0),"")</f>
        <v/>
      </c>
    </row>
    <row r="1190" spans="1:5" x14ac:dyDescent="0.3">
      <c r="A1190" t="s">
        <v>1191</v>
      </c>
      <c r="B1190" t="s">
        <v>523</v>
      </c>
      <c r="C1190" t="s">
        <v>521</v>
      </c>
      <c r="D1190" s="1" t="str">
        <f>IFERROR(VLOOKUP(A1190,'MLR Data'!$A$2:$D$706,4,0),"")</f>
        <v/>
      </c>
    </row>
    <row r="1191" spans="1:5" x14ac:dyDescent="0.3">
      <c r="A1191" t="s">
        <v>1192</v>
      </c>
      <c r="B1191" t="s">
        <v>529</v>
      </c>
      <c r="C1191" t="s">
        <v>415</v>
      </c>
      <c r="D1191" s="1" t="str">
        <f>IFERROR(VLOOKUP(A1191,'MLR Data'!$A$2:$D$706,4,0),"")</f>
        <v/>
      </c>
    </row>
    <row r="1192" spans="1:5" x14ac:dyDescent="0.3">
      <c r="A1192" t="s">
        <v>1193</v>
      </c>
      <c r="B1192" t="s">
        <v>529</v>
      </c>
      <c r="C1192" t="s">
        <v>429</v>
      </c>
      <c r="D1192" s="1" t="str">
        <f>IFERROR(VLOOKUP(A1192,'MLR Data'!$A$2:$D$706,4,0),"")</f>
        <v/>
      </c>
      <c r="E1192" s="5" t="s">
        <v>9</v>
      </c>
    </row>
    <row r="1193" spans="1:5" x14ac:dyDescent="0.3">
      <c r="A1193" t="s">
        <v>1194</v>
      </c>
      <c r="B1193" t="s">
        <v>529</v>
      </c>
      <c r="C1193" t="s">
        <v>909</v>
      </c>
      <c r="D1193" s="1" t="str">
        <f>IFERROR(VLOOKUP(A1193,'MLR Data'!$A$2:$D$706,4,0),"")</f>
        <v/>
      </c>
    </row>
    <row r="1194" spans="1:5" x14ac:dyDescent="0.3">
      <c r="A1194" t="s">
        <v>1195</v>
      </c>
      <c r="B1194" t="s">
        <v>529</v>
      </c>
      <c r="C1194" t="s">
        <v>390</v>
      </c>
      <c r="D1194" s="1" t="str">
        <f>IFERROR(VLOOKUP(A1194,'MLR Data'!$A$2:$D$706,4,0),"")</f>
        <v/>
      </c>
    </row>
    <row r="1195" spans="1:5" x14ac:dyDescent="0.3">
      <c r="A1195" t="s">
        <v>1196</v>
      </c>
      <c r="B1195" t="s">
        <v>529</v>
      </c>
      <c r="C1195" t="s">
        <v>424</v>
      </c>
      <c r="D1195" s="1" t="str">
        <f>IFERROR(VLOOKUP(A1195,'MLR Data'!$A$2:$D$706,4,0),"")</f>
        <v/>
      </c>
      <c r="E1195" s="5" t="s">
        <v>48</v>
      </c>
    </row>
    <row r="1196" spans="1:5" x14ac:dyDescent="0.3">
      <c r="A1196" t="s">
        <v>1197</v>
      </c>
      <c r="B1196" t="s">
        <v>529</v>
      </c>
      <c r="C1196" t="s">
        <v>407</v>
      </c>
      <c r="D1196" s="1" t="str">
        <f>IFERROR(VLOOKUP(A1196,'MLR Data'!$A$2:$D$706,4,0),"")</f>
        <v/>
      </c>
      <c r="E1196" s="5" t="s">
        <v>4</v>
      </c>
    </row>
    <row r="1197" spans="1:5" x14ac:dyDescent="0.3">
      <c r="A1197" t="s">
        <v>1198</v>
      </c>
      <c r="B1197" t="s">
        <v>529</v>
      </c>
      <c r="C1197" t="s">
        <v>451</v>
      </c>
      <c r="D1197" s="1" t="str">
        <f>IFERROR(VLOOKUP(A1197,'MLR Data'!$A$2:$D$706,4,0),"")</f>
        <v/>
      </c>
    </row>
    <row r="1198" spans="1:5" x14ac:dyDescent="0.3">
      <c r="A1198" t="s">
        <v>1199</v>
      </c>
      <c r="B1198" t="s">
        <v>529</v>
      </c>
      <c r="C1198" t="s">
        <v>387</v>
      </c>
      <c r="D1198" s="1" t="str">
        <f>IFERROR(VLOOKUP(A1198,'MLR Data'!$A$2:$D$706,4,0),"")</f>
        <v/>
      </c>
      <c r="E1198" s="5" t="s">
        <v>4</v>
      </c>
    </row>
    <row r="1199" spans="1:5" x14ac:dyDescent="0.3">
      <c r="A1199" t="s">
        <v>1200</v>
      </c>
      <c r="B1199" t="s">
        <v>529</v>
      </c>
      <c r="C1199" t="s">
        <v>461</v>
      </c>
      <c r="D1199" s="1" t="str">
        <f>IFERROR(VLOOKUP(A1199,'MLR Data'!$A$2:$D$706,4,0),"")</f>
        <v/>
      </c>
    </row>
    <row r="1200" spans="1:5" x14ac:dyDescent="0.3">
      <c r="A1200" t="s">
        <v>1201</v>
      </c>
      <c r="B1200" t="s">
        <v>529</v>
      </c>
      <c r="C1200" t="s">
        <v>478</v>
      </c>
      <c r="D1200" s="1" t="str">
        <f>IFERROR(VLOOKUP(A1200,'MLR Data'!$A$2:$D$706,4,0),"")</f>
        <v/>
      </c>
      <c r="E1200" s="5" t="s">
        <v>20</v>
      </c>
    </row>
    <row r="1201" spans="1:5" x14ac:dyDescent="0.3">
      <c r="A1201" t="s">
        <v>1202</v>
      </c>
      <c r="B1201" t="s">
        <v>529</v>
      </c>
      <c r="C1201" t="s">
        <v>374</v>
      </c>
      <c r="D1201" s="1" t="str">
        <f>IFERROR(VLOOKUP(A1201,'MLR Data'!$A$2:$D$706,4,0),"")</f>
        <v/>
      </c>
    </row>
    <row r="1202" spans="1:5" x14ac:dyDescent="0.3">
      <c r="A1202" t="s">
        <v>1203</v>
      </c>
      <c r="B1202" t="s">
        <v>529</v>
      </c>
      <c r="C1202" t="s">
        <v>391</v>
      </c>
      <c r="D1202" s="1" t="str">
        <f>IFERROR(VLOOKUP(A1202,'MLR Data'!$A$2:$D$706,4,0),"")</f>
        <v/>
      </c>
    </row>
    <row r="1203" spans="1:5" x14ac:dyDescent="0.3">
      <c r="A1203" t="s">
        <v>1204</v>
      </c>
      <c r="B1203" t="s">
        <v>529</v>
      </c>
      <c r="C1203" t="s">
        <v>913</v>
      </c>
      <c r="D1203" s="1" t="str">
        <f>IFERROR(VLOOKUP(A1203,'MLR Data'!$A$2:$D$706,4,0),"")</f>
        <v/>
      </c>
      <c r="E1203" s="5" t="s">
        <v>4</v>
      </c>
    </row>
    <row r="1204" spans="1:5" x14ac:dyDescent="0.3">
      <c r="A1204" t="s">
        <v>1205</v>
      </c>
      <c r="B1204" t="s">
        <v>539</v>
      </c>
      <c r="C1204" t="s">
        <v>384</v>
      </c>
      <c r="D1204" s="1" t="str">
        <f>IFERROR(VLOOKUP(A1204,'MLR Data'!$A$2:$D$706,4,0),"")</f>
        <v/>
      </c>
    </row>
    <row r="1205" spans="1:5" x14ac:dyDescent="0.3">
      <c r="A1205" t="s">
        <v>1206</v>
      </c>
      <c r="B1205" t="s">
        <v>539</v>
      </c>
      <c r="C1205" t="s">
        <v>415</v>
      </c>
      <c r="D1205" s="1" t="str">
        <f>IFERROR(VLOOKUP(A1205,'MLR Data'!$A$2:$D$706,4,0),"")</f>
        <v/>
      </c>
      <c r="E1205" s="5" t="s">
        <v>16</v>
      </c>
    </row>
    <row r="1206" spans="1:5" x14ac:dyDescent="0.3">
      <c r="A1206" t="s">
        <v>1207</v>
      </c>
      <c r="B1206" t="s">
        <v>539</v>
      </c>
      <c r="C1206" t="s">
        <v>431</v>
      </c>
      <c r="D1206" s="1" t="str">
        <f>IFERROR(VLOOKUP(A1206,'MLR Data'!$A$2:$D$706,4,0),"")</f>
        <v/>
      </c>
    </row>
    <row r="1207" spans="1:5" x14ac:dyDescent="0.3">
      <c r="A1207" t="s">
        <v>1208</v>
      </c>
      <c r="B1207" t="s">
        <v>539</v>
      </c>
      <c r="C1207" t="s">
        <v>916</v>
      </c>
      <c r="D1207" s="1" t="str">
        <f>IFERROR(VLOOKUP(A1207,'MLR Data'!$A$2:$D$706,4,0),"")</f>
        <v/>
      </c>
    </row>
    <row r="1208" spans="1:5" x14ac:dyDescent="0.3">
      <c r="A1208" t="s">
        <v>1209</v>
      </c>
      <c r="B1208" t="s">
        <v>539</v>
      </c>
      <c r="C1208" t="s">
        <v>387</v>
      </c>
      <c r="D1208" s="1" t="str">
        <f>IFERROR(VLOOKUP(A1208,'MLR Data'!$A$2:$D$706,4,0),"")</f>
        <v/>
      </c>
      <c r="E1208" s="5" t="s">
        <v>4</v>
      </c>
    </row>
    <row r="1209" spans="1:5" x14ac:dyDescent="0.3">
      <c r="A1209" t="s">
        <v>1210</v>
      </c>
      <c r="B1209" t="s">
        <v>539</v>
      </c>
      <c r="C1209" t="s">
        <v>383</v>
      </c>
      <c r="D1209" s="1" t="str">
        <f>IFERROR(VLOOKUP(A1209,'MLR Data'!$A$2:$D$706,4,0),"")</f>
        <v/>
      </c>
    </row>
    <row r="1210" spans="1:5" x14ac:dyDescent="0.3">
      <c r="A1210" t="s">
        <v>1211</v>
      </c>
      <c r="B1210" t="s">
        <v>539</v>
      </c>
      <c r="C1210" t="s">
        <v>911</v>
      </c>
      <c r="D1210" s="1" t="str">
        <f>IFERROR(VLOOKUP(A1210,'MLR Data'!$A$2:$D$706,4,0),"")</f>
        <v/>
      </c>
      <c r="E1210" s="5" t="s">
        <v>31</v>
      </c>
    </row>
    <row r="1211" spans="1:5" x14ac:dyDescent="0.3">
      <c r="A1211" t="s">
        <v>1212</v>
      </c>
      <c r="B1211" t="s">
        <v>539</v>
      </c>
      <c r="C1211" t="s">
        <v>909</v>
      </c>
      <c r="D1211" s="1" t="str">
        <f>IFERROR(VLOOKUP(A1211,'MLR Data'!$A$2:$D$706,4,0),"")</f>
        <v/>
      </c>
      <c r="E1211" s="5" t="s">
        <v>16</v>
      </c>
    </row>
    <row r="1212" spans="1:5" x14ac:dyDescent="0.3">
      <c r="A1212" t="s">
        <v>1213</v>
      </c>
      <c r="B1212" t="s">
        <v>539</v>
      </c>
      <c r="C1212" t="s">
        <v>910</v>
      </c>
      <c r="D1212" s="1" t="str">
        <f>IFERROR(VLOOKUP(A1212,'MLR Data'!$A$2:$D$706,4,0),"")</f>
        <v/>
      </c>
    </row>
    <row r="1213" spans="1:5" x14ac:dyDescent="0.3">
      <c r="A1213" t="s">
        <v>1214</v>
      </c>
      <c r="B1213" t="s">
        <v>539</v>
      </c>
      <c r="C1213" t="s">
        <v>913</v>
      </c>
      <c r="D1213" s="1" t="str">
        <f>IFERROR(VLOOKUP(A1213,'MLR Data'!$A$2:$D$706,4,0),"")</f>
        <v/>
      </c>
      <c r="E1213" s="5" t="s">
        <v>4</v>
      </c>
    </row>
    <row r="1214" spans="1:5" x14ac:dyDescent="0.3">
      <c r="A1214" t="s">
        <v>1215</v>
      </c>
      <c r="B1214" t="s">
        <v>539</v>
      </c>
      <c r="C1214" t="s">
        <v>374</v>
      </c>
      <c r="D1214" s="1" t="str">
        <f>IFERROR(VLOOKUP(A1214,'MLR Data'!$A$2:$D$706,4,0),"")</f>
        <v/>
      </c>
    </row>
    <row r="1215" spans="1:5" x14ac:dyDescent="0.3">
      <c r="A1215" t="s">
        <v>1216</v>
      </c>
      <c r="B1215" t="s">
        <v>539</v>
      </c>
      <c r="C1215" t="s">
        <v>738</v>
      </c>
      <c r="D1215" s="1" t="str">
        <f>IFERROR(VLOOKUP(A1215,'MLR Data'!$A$2:$D$706,4,0),"")</f>
        <v/>
      </c>
      <c r="E1215" s="5" t="s">
        <v>66</v>
      </c>
    </row>
    <row r="1216" spans="1:5" x14ac:dyDescent="0.3">
      <c r="A1216" t="s">
        <v>1217</v>
      </c>
      <c r="B1216" t="s">
        <v>539</v>
      </c>
      <c r="C1216" t="s">
        <v>478</v>
      </c>
      <c r="D1216" s="1" t="str">
        <f>IFERROR(VLOOKUP(A1216,'MLR Data'!$A$2:$D$706,4,0),"")</f>
        <v/>
      </c>
      <c r="E1216" s="5" t="s">
        <v>20</v>
      </c>
    </row>
    <row r="1217" spans="1:5" x14ac:dyDescent="0.3">
      <c r="A1217" t="s">
        <v>1218</v>
      </c>
      <c r="B1217" t="s">
        <v>539</v>
      </c>
      <c r="C1217" t="s">
        <v>407</v>
      </c>
      <c r="D1217" s="1" t="str">
        <f>IFERROR(VLOOKUP(A1217,'MLR Data'!$A$2:$D$706,4,0),"")</f>
        <v/>
      </c>
      <c r="E1217" s="5" t="s">
        <v>4</v>
      </c>
    </row>
    <row r="1218" spans="1:5" x14ac:dyDescent="0.3">
      <c r="A1218" t="s">
        <v>1219</v>
      </c>
      <c r="B1218" t="s">
        <v>539</v>
      </c>
      <c r="C1218" t="s">
        <v>912</v>
      </c>
      <c r="D1218" s="1" t="str">
        <f>IFERROR(VLOOKUP(A1218,'MLR Data'!$A$2:$D$706,4,0),"")</f>
        <v/>
      </c>
      <c r="E1218" s="5" t="s">
        <v>13</v>
      </c>
    </row>
    <row r="1219" spans="1:5" x14ac:dyDescent="0.3">
      <c r="A1219" t="s">
        <v>1220</v>
      </c>
      <c r="B1219" t="s">
        <v>543</v>
      </c>
      <c r="C1219" t="s">
        <v>391</v>
      </c>
      <c r="D1219" s="1" t="str">
        <f>IFERROR(VLOOKUP(A1219,'MLR Data'!$A$2:$D$706,4,0),"")</f>
        <v/>
      </c>
    </row>
    <row r="1220" spans="1:5" x14ac:dyDescent="0.3">
      <c r="A1220" t="s">
        <v>1221</v>
      </c>
      <c r="B1220" t="s">
        <v>543</v>
      </c>
      <c r="C1220" t="s">
        <v>431</v>
      </c>
      <c r="D1220" s="1" t="str">
        <f>IFERROR(VLOOKUP(A1220,'MLR Data'!$A$2:$D$706,4,0),"")</f>
        <v/>
      </c>
    </row>
    <row r="1221" spans="1:5" x14ac:dyDescent="0.3">
      <c r="A1221" t="s">
        <v>1222</v>
      </c>
      <c r="B1221" t="s">
        <v>543</v>
      </c>
      <c r="C1221" t="s">
        <v>916</v>
      </c>
      <c r="D1221" s="1" t="str">
        <f>IFERROR(VLOOKUP(A1221,'MLR Data'!$A$2:$D$706,4,0),"")</f>
        <v/>
      </c>
    </row>
    <row r="1222" spans="1:5" x14ac:dyDescent="0.3">
      <c r="A1222" t="s">
        <v>1223</v>
      </c>
      <c r="B1222" t="s">
        <v>543</v>
      </c>
      <c r="C1222" t="s">
        <v>383</v>
      </c>
      <c r="D1222" s="1" t="str">
        <f>IFERROR(VLOOKUP(A1222,'MLR Data'!$A$2:$D$706,4,0),"")</f>
        <v/>
      </c>
    </row>
    <row r="1223" spans="1:5" x14ac:dyDescent="0.3">
      <c r="A1223" t="s">
        <v>1224</v>
      </c>
      <c r="B1223" t="s">
        <v>543</v>
      </c>
      <c r="C1223" t="s">
        <v>429</v>
      </c>
      <c r="D1223" s="1" t="str">
        <f>IFERROR(VLOOKUP(A1223,'MLR Data'!$A$2:$D$706,4,0),"")</f>
        <v/>
      </c>
      <c r="E1223" s="5" t="s">
        <v>9</v>
      </c>
    </row>
    <row r="1224" spans="1:5" x14ac:dyDescent="0.3">
      <c r="A1224" t="s">
        <v>1225</v>
      </c>
      <c r="B1224" t="s">
        <v>543</v>
      </c>
      <c r="C1224" t="s">
        <v>416</v>
      </c>
      <c r="D1224" s="1" t="str">
        <f>IFERROR(VLOOKUP(A1224,'MLR Data'!$A$2:$D$706,4,0),"")</f>
        <v/>
      </c>
    </row>
    <row r="1225" spans="1:5" x14ac:dyDescent="0.3">
      <c r="A1225" t="s">
        <v>1226</v>
      </c>
      <c r="B1225" t="s">
        <v>543</v>
      </c>
      <c r="C1225" t="s">
        <v>910</v>
      </c>
      <c r="D1225" s="1" t="str">
        <f>IFERROR(VLOOKUP(A1225,'MLR Data'!$A$2:$D$706,4,0),"")</f>
        <v/>
      </c>
    </row>
    <row r="1226" spans="1:5" x14ac:dyDescent="0.3">
      <c r="A1226" t="s">
        <v>1227</v>
      </c>
      <c r="B1226" t="s">
        <v>543</v>
      </c>
      <c r="C1226" t="s">
        <v>909</v>
      </c>
      <c r="D1226" s="1" t="str">
        <f>IFERROR(VLOOKUP(A1226,'MLR Data'!$A$2:$D$706,4,0),"")</f>
        <v/>
      </c>
      <c r="E1226" s="5" t="s">
        <v>16</v>
      </c>
    </row>
    <row r="1227" spans="1:5" x14ac:dyDescent="0.3">
      <c r="A1227" t="s">
        <v>1228</v>
      </c>
      <c r="B1227" t="s">
        <v>543</v>
      </c>
      <c r="C1227" t="s">
        <v>911</v>
      </c>
      <c r="D1227" s="1" t="str">
        <f>IFERROR(VLOOKUP(A1227,'MLR Data'!$A$2:$D$706,4,0),"")</f>
        <v/>
      </c>
    </row>
    <row r="1228" spans="1:5" x14ac:dyDescent="0.3">
      <c r="A1228" t="s">
        <v>1229</v>
      </c>
      <c r="B1228" t="s">
        <v>543</v>
      </c>
      <c r="C1228" t="s">
        <v>913</v>
      </c>
      <c r="D1228" s="1" t="str">
        <f>IFERROR(VLOOKUP(A1228,'MLR Data'!$A$2:$D$706,4,0),"")</f>
        <v/>
      </c>
      <c r="E1228" s="5" t="s">
        <v>4</v>
      </c>
    </row>
    <row r="1229" spans="1:5" x14ac:dyDescent="0.3">
      <c r="A1229" t="s">
        <v>1230</v>
      </c>
      <c r="B1229" t="s">
        <v>543</v>
      </c>
      <c r="C1229" t="s">
        <v>951</v>
      </c>
      <c r="D1229" s="1" t="str">
        <f>IFERROR(VLOOKUP(A1229,'MLR Data'!$A$2:$D$706,4,0),"")</f>
        <v/>
      </c>
    </row>
    <row r="1230" spans="1:5" x14ac:dyDescent="0.3">
      <c r="A1230" t="s">
        <v>1231</v>
      </c>
      <c r="B1230" t="s">
        <v>543</v>
      </c>
      <c r="C1230" t="s">
        <v>624</v>
      </c>
      <c r="D1230" s="1" t="str">
        <f>IFERROR(VLOOKUP(A1230,'MLR Data'!$A$2:$D$706,4,0),"")</f>
        <v/>
      </c>
    </row>
    <row r="1231" spans="1:5" x14ac:dyDescent="0.3">
      <c r="A1231" t="s">
        <v>1232</v>
      </c>
      <c r="B1231" t="s">
        <v>543</v>
      </c>
      <c r="C1231" t="s">
        <v>952</v>
      </c>
      <c r="D1231" s="1" t="str">
        <f>IFERROR(VLOOKUP(A1231,'MLR Data'!$A$2:$D$706,4,0),"")</f>
        <v/>
      </c>
      <c r="E1231" s="5" t="s">
        <v>4</v>
      </c>
    </row>
    <row r="1232" spans="1:5" x14ac:dyDescent="0.3">
      <c r="A1232" t="s">
        <v>1233</v>
      </c>
      <c r="B1232" t="s">
        <v>543</v>
      </c>
      <c r="C1232" t="s">
        <v>953</v>
      </c>
      <c r="D1232" s="1" t="str">
        <f>IFERROR(VLOOKUP(A1232,'MLR Data'!$A$2:$D$706,4,0),"")</f>
        <v/>
      </c>
    </row>
    <row r="1233" spans="1:5" x14ac:dyDescent="0.3">
      <c r="A1233" t="s">
        <v>1234</v>
      </c>
      <c r="B1233" t="s">
        <v>543</v>
      </c>
      <c r="C1233" t="s">
        <v>394</v>
      </c>
      <c r="D1233" s="1" t="str">
        <f>IFERROR(VLOOKUP(A1233,'MLR Data'!$A$2:$D$706,4,0),"")</f>
        <v/>
      </c>
    </row>
    <row r="1234" spans="1:5" x14ac:dyDescent="0.3">
      <c r="A1234" t="s">
        <v>1235</v>
      </c>
      <c r="B1234" t="s">
        <v>543</v>
      </c>
      <c r="C1234" t="s">
        <v>914</v>
      </c>
      <c r="D1234" s="1" t="str">
        <f>IFERROR(VLOOKUP(A1234,'MLR Data'!$A$2:$D$706,4,0),"")</f>
        <v/>
      </c>
    </row>
    <row r="1235" spans="1:5" x14ac:dyDescent="0.3">
      <c r="A1235" t="s">
        <v>1236</v>
      </c>
      <c r="B1235" t="s">
        <v>543</v>
      </c>
      <c r="C1235" t="s">
        <v>954</v>
      </c>
      <c r="D1235" s="1" t="str">
        <f>IFERROR(VLOOKUP(A1235,'MLR Data'!$A$2:$D$706,4,0),"")</f>
        <v/>
      </c>
    </row>
    <row r="1236" spans="1:5" x14ac:dyDescent="0.3">
      <c r="A1236" t="s">
        <v>1237</v>
      </c>
      <c r="B1236" t="s">
        <v>543</v>
      </c>
      <c r="C1236" t="s">
        <v>374</v>
      </c>
      <c r="D1236" s="1" t="str">
        <f>IFERROR(VLOOKUP(A1236,'MLR Data'!$A$2:$D$706,4,0),"")</f>
        <v/>
      </c>
    </row>
    <row r="1237" spans="1:5" x14ac:dyDescent="0.3">
      <c r="A1237" t="s">
        <v>1238</v>
      </c>
      <c r="B1237" t="s">
        <v>543</v>
      </c>
      <c r="C1237" t="s">
        <v>478</v>
      </c>
      <c r="D1237" s="1" t="str">
        <f>IFERROR(VLOOKUP(A1237,'MLR Data'!$A$2:$D$706,4,0),"")</f>
        <v/>
      </c>
      <c r="E1237" s="5" t="s">
        <v>20</v>
      </c>
    </row>
    <row r="1238" spans="1:5" x14ac:dyDescent="0.3">
      <c r="A1238" t="s">
        <v>1239</v>
      </c>
      <c r="B1238" t="s">
        <v>543</v>
      </c>
      <c r="C1238" t="s">
        <v>385</v>
      </c>
      <c r="D1238" s="1" t="str">
        <f>IFERROR(VLOOKUP(A1238,'MLR Data'!$A$2:$D$706,4,0),"")</f>
        <v/>
      </c>
    </row>
    <row r="1239" spans="1:5" x14ac:dyDescent="0.3">
      <c r="A1239" t="s">
        <v>1240</v>
      </c>
      <c r="B1239" t="s">
        <v>543</v>
      </c>
      <c r="C1239" t="s">
        <v>955</v>
      </c>
      <c r="D1239" s="1" t="str">
        <f>IFERROR(VLOOKUP(A1239,'MLR Data'!$A$2:$D$706,4,0),"")</f>
        <v/>
      </c>
    </row>
    <row r="1240" spans="1:5" x14ac:dyDescent="0.3">
      <c r="A1240" t="s">
        <v>1241</v>
      </c>
      <c r="B1240" t="s">
        <v>543</v>
      </c>
      <c r="C1240" t="s">
        <v>575</v>
      </c>
      <c r="D1240" s="1" t="str">
        <f>IFERROR(VLOOKUP(A1240,'MLR Data'!$A$2:$D$706,4,0),"")</f>
        <v/>
      </c>
      <c r="E1240" s="5" t="s">
        <v>20</v>
      </c>
    </row>
    <row r="1241" spans="1:5" x14ac:dyDescent="0.3">
      <c r="A1241" t="s">
        <v>1242</v>
      </c>
      <c r="B1241" t="s">
        <v>543</v>
      </c>
      <c r="C1241" t="s">
        <v>956</v>
      </c>
      <c r="D1241" s="1" t="str">
        <f>IFERROR(VLOOKUP(A1241,'MLR Data'!$A$2:$D$706,4,0),"")</f>
        <v/>
      </c>
      <c r="E1241" s="5" t="s">
        <v>113</v>
      </c>
    </row>
    <row r="1242" spans="1:5" x14ac:dyDescent="0.3">
      <c r="A1242" t="s">
        <v>1243</v>
      </c>
      <c r="B1242" t="s">
        <v>549</v>
      </c>
      <c r="C1242" t="s">
        <v>391</v>
      </c>
      <c r="D1242" s="1" t="str">
        <f>IFERROR(VLOOKUP(A1242,'MLR Data'!$A$2:$D$706,4,0),"")</f>
        <v/>
      </c>
    </row>
    <row r="1243" spans="1:5" x14ac:dyDescent="0.3">
      <c r="A1243" t="s">
        <v>1244</v>
      </c>
      <c r="B1243" t="s">
        <v>549</v>
      </c>
      <c r="C1243" t="s">
        <v>535</v>
      </c>
      <c r="D1243" s="1" t="str">
        <f>IFERROR(VLOOKUP(A1243,'MLR Data'!$A$2:$D$706,4,0),"")</f>
        <v/>
      </c>
    </row>
    <row r="1244" spans="1:5" x14ac:dyDescent="0.3">
      <c r="A1244" t="s">
        <v>1245</v>
      </c>
      <c r="B1244" t="s">
        <v>549</v>
      </c>
      <c r="C1244" t="s">
        <v>957</v>
      </c>
      <c r="D1244" s="1" t="str">
        <f>IFERROR(VLOOKUP(A1244,'MLR Data'!$A$2:$D$706,4,0),"")</f>
        <v/>
      </c>
    </row>
    <row r="1245" spans="1:5" x14ac:dyDescent="0.3">
      <c r="A1245" t="s">
        <v>1246</v>
      </c>
      <c r="B1245" t="s">
        <v>549</v>
      </c>
      <c r="C1245" t="s">
        <v>910</v>
      </c>
      <c r="D1245" s="1" t="str">
        <f>IFERROR(VLOOKUP(A1245,'MLR Data'!$A$2:$D$706,4,0),"")</f>
        <v/>
      </c>
    </row>
    <row r="1246" spans="1:5" x14ac:dyDescent="0.3">
      <c r="A1246" t="s">
        <v>1247</v>
      </c>
      <c r="B1246" t="s">
        <v>549</v>
      </c>
      <c r="C1246" t="s">
        <v>916</v>
      </c>
      <c r="D1246" s="1" t="str">
        <f>IFERROR(VLOOKUP(A1246,'MLR Data'!$A$2:$D$706,4,0),"")</f>
        <v/>
      </c>
    </row>
    <row r="1247" spans="1:5" x14ac:dyDescent="0.3">
      <c r="A1247" t="s">
        <v>1248</v>
      </c>
      <c r="B1247" t="s">
        <v>549</v>
      </c>
      <c r="C1247" t="s">
        <v>911</v>
      </c>
      <c r="D1247" s="1" t="str">
        <f>IFERROR(VLOOKUP(A1247,'MLR Data'!$A$2:$D$706,4,0),"")</f>
        <v/>
      </c>
      <c r="E1247" s="5" t="s">
        <v>31</v>
      </c>
    </row>
    <row r="1248" spans="1:5" x14ac:dyDescent="0.3">
      <c r="A1248" t="s">
        <v>1249</v>
      </c>
      <c r="B1248" t="s">
        <v>549</v>
      </c>
      <c r="C1248" t="s">
        <v>431</v>
      </c>
      <c r="D1248" s="1" t="str">
        <f>IFERROR(VLOOKUP(A1248,'MLR Data'!$A$2:$D$706,4,0),"")</f>
        <v/>
      </c>
    </row>
    <row r="1249" spans="1:5" x14ac:dyDescent="0.3">
      <c r="A1249" t="s">
        <v>1250</v>
      </c>
      <c r="B1249" t="s">
        <v>549</v>
      </c>
      <c r="C1249" t="s">
        <v>913</v>
      </c>
      <c r="D1249" s="1" t="str">
        <f>IFERROR(VLOOKUP(A1249,'MLR Data'!$A$2:$D$706,4,0),"")</f>
        <v/>
      </c>
      <c r="E1249" s="5" t="s">
        <v>4</v>
      </c>
    </row>
    <row r="1250" spans="1:5" x14ac:dyDescent="0.3">
      <c r="A1250" t="s">
        <v>1251</v>
      </c>
      <c r="B1250" t="s">
        <v>549</v>
      </c>
      <c r="C1250" t="s">
        <v>958</v>
      </c>
      <c r="D1250" s="1" t="str">
        <f>IFERROR(VLOOKUP(A1250,'MLR Data'!$A$2:$D$706,4,0),"")</f>
        <v/>
      </c>
    </row>
    <row r="1251" spans="1:5" x14ac:dyDescent="0.3">
      <c r="A1251" t="s">
        <v>1252</v>
      </c>
      <c r="B1251" t="s">
        <v>549</v>
      </c>
      <c r="C1251" t="s">
        <v>407</v>
      </c>
      <c r="D1251" s="1" t="str">
        <f>IFERROR(VLOOKUP(A1251,'MLR Data'!$A$2:$D$706,4,0),"")</f>
        <v/>
      </c>
      <c r="E1251" s="5" t="s">
        <v>4</v>
      </c>
    </row>
    <row r="1252" spans="1:5" x14ac:dyDescent="0.3">
      <c r="A1252" t="s">
        <v>1253</v>
      </c>
      <c r="B1252" t="s">
        <v>549</v>
      </c>
      <c r="C1252" t="s">
        <v>478</v>
      </c>
      <c r="D1252" s="1" t="str">
        <f>IFERROR(VLOOKUP(A1252,'MLR Data'!$A$2:$D$706,4,0),"")</f>
        <v/>
      </c>
      <c r="E1252" s="5" t="s">
        <v>20</v>
      </c>
    </row>
    <row r="1253" spans="1:5" x14ac:dyDescent="0.3">
      <c r="A1253" t="s">
        <v>1254</v>
      </c>
      <c r="B1253" t="s">
        <v>549</v>
      </c>
      <c r="C1253" t="s">
        <v>959</v>
      </c>
      <c r="D1253" s="1" t="str">
        <f>IFERROR(VLOOKUP(A1253,'MLR Data'!$A$2:$D$706,4,0),"")</f>
        <v/>
      </c>
    </row>
    <row r="1254" spans="1:5" x14ac:dyDescent="0.3">
      <c r="A1254" t="s">
        <v>1255</v>
      </c>
      <c r="B1254" t="s">
        <v>549</v>
      </c>
      <c r="C1254" t="s">
        <v>960</v>
      </c>
      <c r="D1254" s="1" t="str">
        <f>IFERROR(VLOOKUP(A1254,'MLR Data'!$A$2:$D$706,4,0),"")</f>
        <v/>
      </c>
    </row>
    <row r="1255" spans="1:5" x14ac:dyDescent="0.3">
      <c r="A1255" t="s">
        <v>1256</v>
      </c>
      <c r="B1255" t="s">
        <v>549</v>
      </c>
      <c r="C1255" t="s">
        <v>118</v>
      </c>
      <c r="D1255" s="1" t="str">
        <f>IFERROR(VLOOKUP(A1255,'MLR Data'!$A$2:$D$706,4,0),"")</f>
        <v>Anthem Insurance Companies, Inc.</v>
      </c>
      <c r="E1255" s="5" t="s">
        <v>118</v>
      </c>
    </row>
    <row r="1256" spans="1:5" x14ac:dyDescent="0.3">
      <c r="A1256" t="s">
        <v>1257</v>
      </c>
      <c r="B1256" t="s">
        <v>549</v>
      </c>
      <c r="C1256" t="s">
        <v>912</v>
      </c>
      <c r="D1256" s="1" t="str">
        <f>IFERROR(VLOOKUP(A1256,'MLR Data'!$A$2:$D$706,4,0),"")</f>
        <v/>
      </c>
      <c r="E1256" s="5" t="s">
        <v>13</v>
      </c>
    </row>
    <row r="1257" spans="1:5" x14ac:dyDescent="0.3">
      <c r="A1257" t="s">
        <v>1258</v>
      </c>
      <c r="B1257" t="s">
        <v>549</v>
      </c>
      <c r="C1257" t="s">
        <v>385</v>
      </c>
      <c r="D1257" s="1" t="str">
        <f>IFERROR(VLOOKUP(A1257,'MLR Data'!$A$2:$D$706,4,0),"")</f>
        <v/>
      </c>
    </row>
    <row r="1258" spans="1:5" x14ac:dyDescent="0.3">
      <c r="A1258" t="s">
        <v>1259</v>
      </c>
      <c r="B1258" t="s">
        <v>549</v>
      </c>
      <c r="C1258" t="s">
        <v>921</v>
      </c>
      <c r="D1258" s="1" t="str">
        <f>IFERROR(VLOOKUP(A1258,'MLR Data'!$A$2:$D$706,4,0),"")</f>
        <v/>
      </c>
      <c r="E1258" s="5" t="s">
        <v>4</v>
      </c>
    </row>
    <row r="1259" spans="1:5" x14ac:dyDescent="0.3">
      <c r="A1259" t="s">
        <v>1260</v>
      </c>
      <c r="B1259" t="s">
        <v>536</v>
      </c>
      <c r="C1259" t="s">
        <v>535</v>
      </c>
      <c r="D1259" s="1" t="str">
        <f>IFERROR(VLOOKUP(A1259,'MLR Data'!$A$2:$D$706,4,0),"")</f>
        <v/>
      </c>
    </row>
    <row r="1260" spans="1:5" x14ac:dyDescent="0.3">
      <c r="A1260" t="s">
        <v>1261</v>
      </c>
      <c r="B1260" t="s">
        <v>536</v>
      </c>
      <c r="C1260" t="s">
        <v>916</v>
      </c>
      <c r="D1260" s="1" t="str">
        <f>IFERROR(VLOOKUP(A1260,'MLR Data'!$A$2:$D$706,4,0),"")</f>
        <v/>
      </c>
    </row>
    <row r="1261" spans="1:5" x14ac:dyDescent="0.3">
      <c r="A1261" t="s">
        <v>1262</v>
      </c>
      <c r="B1261" t="s">
        <v>536</v>
      </c>
      <c r="C1261" t="s">
        <v>961</v>
      </c>
      <c r="D1261" s="1" t="str">
        <f>IFERROR(VLOOKUP(A1261,'MLR Data'!$A$2:$D$706,4,0),"")</f>
        <v/>
      </c>
      <c r="E1261" s="5" t="s">
        <v>123</v>
      </c>
    </row>
    <row r="1262" spans="1:5" x14ac:dyDescent="0.3">
      <c r="A1262" t="s">
        <v>1263</v>
      </c>
      <c r="B1262" t="s">
        <v>536</v>
      </c>
      <c r="C1262" t="s">
        <v>391</v>
      </c>
      <c r="D1262" s="1" t="str">
        <f>IFERROR(VLOOKUP(A1262,'MLR Data'!$A$2:$D$706,4,0),"")</f>
        <v/>
      </c>
    </row>
    <row r="1263" spans="1:5" x14ac:dyDescent="0.3">
      <c r="A1263" t="s">
        <v>1264</v>
      </c>
      <c r="B1263" t="s">
        <v>536</v>
      </c>
      <c r="C1263" t="s">
        <v>431</v>
      </c>
      <c r="D1263" s="1" t="str">
        <f>IFERROR(VLOOKUP(A1263,'MLR Data'!$A$2:$D$706,4,0),"")</f>
        <v/>
      </c>
    </row>
    <row r="1264" spans="1:5" x14ac:dyDescent="0.3">
      <c r="A1264" t="s">
        <v>1265</v>
      </c>
      <c r="B1264" t="s">
        <v>536</v>
      </c>
      <c r="C1264" t="s">
        <v>909</v>
      </c>
      <c r="D1264" s="1" t="str">
        <f>IFERROR(VLOOKUP(A1264,'MLR Data'!$A$2:$D$706,4,0),"")</f>
        <v/>
      </c>
    </row>
    <row r="1265" spans="1:5" x14ac:dyDescent="0.3">
      <c r="A1265" t="s">
        <v>1266</v>
      </c>
      <c r="B1265" t="s">
        <v>536</v>
      </c>
      <c r="C1265" t="s">
        <v>381</v>
      </c>
      <c r="D1265" s="1" t="str">
        <f>IFERROR(VLOOKUP(A1265,'MLR Data'!$A$2:$D$706,4,0),"")</f>
        <v/>
      </c>
    </row>
    <row r="1266" spans="1:5" x14ac:dyDescent="0.3">
      <c r="A1266" t="s">
        <v>1267</v>
      </c>
      <c r="B1266" t="s">
        <v>536</v>
      </c>
      <c r="C1266" t="s">
        <v>956</v>
      </c>
      <c r="D1266" s="1" t="str">
        <f>IFERROR(VLOOKUP(A1266,'MLR Data'!$A$2:$D$706,4,0),"")</f>
        <v/>
      </c>
      <c r="E1266" s="5" t="s">
        <v>113</v>
      </c>
    </row>
    <row r="1267" spans="1:5" x14ac:dyDescent="0.3">
      <c r="A1267" t="s">
        <v>1268</v>
      </c>
      <c r="B1267" t="s">
        <v>536</v>
      </c>
      <c r="C1267" t="s">
        <v>478</v>
      </c>
      <c r="D1267" s="1" t="str">
        <f>IFERROR(VLOOKUP(A1267,'MLR Data'!$A$2:$D$706,4,0),"")</f>
        <v/>
      </c>
      <c r="E1267" s="5" t="s">
        <v>20</v>
      </c>
    </row>
    <row r="1268" spans="1:5" x14ac:dyDescent="0.3">
      <c r="A1268" t="s">
        <v>1269</v>
      </c>
      <c r="B1268" t="s">
        <v>536</v>
      </c>
      <c r="C1268" t="s">
        <v>383</v>
      </c>
      <c r="D1268" s="1" t="str">
        <f>IFERROR(VLOOKUP(A1268,'MLR Data'!$A$2:$D$706,4,0),"")</f>
        <v/>
      </c>
    </row>
    <row r="1269" spans="1:5" x14ac:dyDescent="0.3">
      <c r="A1269" t="s">
        <v>1270</v>
      </c>
      <c r="B1269" t="s">
        <v>536</v>
      </c>
      <c r="C1269" t="s">
        <v>416</v>
      </c>
      <c r="D1269" s="1" t="str">
        <f>IFERROR(VLOOKUP(A1269,'MLR Data'!$A$2:$D$706,4,0),"")</f>
        <v/>
      </c>
    </row>
    <row r="1270" spans="1:5" x14ac:dyDescent="0.3">
      <c r="A1270" t="s">
        <v>1271</v>
      </c>
      <c r="B1270" t="s">
        <v>536</v>
      </c>
      <c r="C1270" t="s">
        <v>350</v>
      </c>
      <c r="D1270" s="1" t="str">
        <f>IFERROR(VLOOKUP(A1270,'MLR Data'!$A$2:$D$706,4,0),"")</f>
        <v/>
      </c>
    </row>
    <row r="1271" spans="1:5" x14ac:dyDescent="0.3">
      <c r="A1271" t="s">
        <v>1272</v>
      </c>
      <c r="B1271" t="s">
        <v>536</v>
      </c>
      <c r="C1271" t="s">
        <v>911</v>
      </c>
      <c r="D1271" s="1" t="str">
        <f>IFERROR(VLOOKUP(A1271,'MLR Data'!$A$2:$D$706,4,0),"")</f>
        <v/>
      </c>
    </row>
    <row r="1272" spans="1:5" x14ac:dyDescent="0.3">
      <c r="A1272" t="s">
        <v>1273</v>
      </c>
      <c r="B1272" t="s">
        <v>536</v>
      </c>
      <c r="C1272" t="s">
        <v>374</v>
      </c>
      <c r="D1272" s="1" t="str">
        <f>IFERROR(VLOOKUP(A1272,'MLR Data'!$A$2:$D$706,4,0),"")</f>
        <v/>
      </c>
    </row>
    <row r="1273" spans="1:5" x14ac:dyDescent="0.3">
      <c r="A1273" t="s">
        <v>1274</v>
      </c>
      <c r="B1273" t="s">
        <v>536</v>
      </c>
      <c r="C1273" t="s">
        <v>913</v>
      </c>
      <c r="D1273" s="1" t="str">
        <f>IFERROR(VLOOKUP(A1273,'MLR Data'!$A$2:$D$706,4,0),"")</f>
        <v/>
      </c>
      <c r="E1273" s="5" t="s">
        <v>4</v>
      </c>
    </row>
    <row r="1274" spans="1:5" x14ac:dyDescent="0.3">
      <c r="A1274" t="s">
        <v>1275</v>
      </c>
      <c r="B1274" t="s">
        <v>536</v>
      </c>
      <c r="C1274" t="s">
        <v>385</v>
      </c>
      <c r="D1274" s="1" t="str">
        <f>IFERROR(VLOOKUP(A1274,'MLR Data'!$A$2:$D$706,4,0),"")</f>
        <v/>
      </c>
    </row>
    <row r="1275" spans="1:5" x14ac:dyDescent="0.3">
      <c r="A1275" t="s">
        <v>1276</v>
      </c>
      <c r="B1275" t="s">
        <v>555</v>
      </c>
      <c r="C1275" t="s">
        <v>431</v>
      </c>
      <c r="D1275" s="1" t="str">
        <f>IFERROR(VLOOKUP(A1275,'MLR Data'!$A$2:$D$706,4,0),"")</f>
        <v/>
      </c>
    </row>
    <row r="1276" spans="1:5" x14ac:dyDescent="0.3">
      <c r="A1276" t="s">
        <v>1277</v>
      </c>
      <c r="B1276" t="s">
        <v>555</v>
      </c>
      <c r="C1276" t="s">
        <v>390</v>
      </c>
      <c r="D1276" s="1" t="str">
        <f>IFERROR(VLOOKUP(A1276,'MLR Data'!$A$2:$D$706,4,0),"")</f>
        <v/>
      </c>
    </row>
    <row r="1277" spans="1:5" x14ac:dyDescent="0.3">
      <c r="A1277" t="s">
        <v>1278</v>
      </c>
      <c r="B1277" t="s">
        <v>555</v>
      </c>
      <c r="C1277" t="s">
        <v>383</v>
      </c>
      <c r="D1277" s="1" t="str">
        <f>IFERROR(VLOOKUP(A1277,'MLR Data'!$A$2:$D$706,4,0),"")</f>
        <v/>
      </c>
    </row>
    <row r="1278" spans="1:5" x14ac:dyDescent="0.3">
      <c r="A1278" t="s">
        <v>1279</v>
      </c>
      <c r="B1278" t="s">
        <v>555</v>
      </c>
      <c r="C1278" t="s">
        <v>909</v>
      </c>
      <c r="D1278" s="1" t="str">
        <f>IFERROR(VLOOKUP(A1278,'MLR Data'!$A$2:$D$706,4,0),"")</f>
        <v/>
      </c>
      <c r="E1278" s="5" t="s">
        <v>16</v>
      </c>
    </row>
    <row r="1279" spans="1:5" x14ac:dyDescent="0.3">
      <c r="A1279" t="s">
        <v>1280</v>
      </c>
      <c r="B1279" t="s">
        <v>555</v>
      </c>
      <c r="C1279" t="s">
        <v>381</v>
      </c>
      <c r="D1279" s="1" t="str">
        <f>IFERROR(VLOOKUP(A1279,'MLR Data'!$A$2:$D$706,4,0),"")</f>
        <v/>
      </c>
    </row>
    <row r="1280" spans="1:5" x14ac:dyDescent="0.3">
      <c r="A1280" t="s">
        <v>1281</v>
      </c>
      <c r="B1280" t="s">
        <v>555</v>
      </c>
      <c r="C1280" t="s">
        <v>911</v>
      </c>
      <c r="D1280" s="1" t="str">
        <f>IFERROR(VLOOKUP(A1280,'MLR Data'!$A$2:$D$706,4,0),"")</f>
        <v/>
      </c>
    </row>
    <row r="1281" spans="1:5" x14ac:dyDescent="0.3">
      <c r="A1281" t="s">
        <v>1282</v>
      </c>
      <c r="B1281" t="s">
        <v>555</v>
      </c>
      <c r="C1281" t="s">
        <v>535</v>
      </c>
      <c r="D1281" s="1" t="str">
        <f>IFERROR(VLOOKUP(A1281,'MLR Data'!$A$2:$D$706,4,0),"")</f>
        <v/>
      </c>
    </row>
    <row r="1282" spans="1:5" x14ac:dyDescent="0.3">
      <c r="A1282" t="s">
        <v>1283</v>
      </c>
      <c r="B1282" t="s">
        <v>555</v>
      </c>
      <c r="C1282" t="s">
        <v>415</v>
      </c>
      <c r="D1282" s="1" t="str">
        <f>IFERROR(VLOOKUP(A1282,'MLR Data'!$A$2:$D$706,4,0),"")</f>
        <v/>
      </c>
    </row>
    <row r="1283" spans="1:5" x14ac:dyDescent="0.3">
      <c r="A1283" t="s">
        <v>1284</v>
      </c>
      <c r="B1283" t="s">
        <v>555</v>
      </c>
      <c r="C1283" t="s">
        <v>416</v>
      </c>
      <c r="D1283" s="1" t="str">
        <f>IFERROR(VLOOKUP(A1283,'MLR Data'!$A$2:$D$706,4,0),"")</f>
        <v/>
      </c>
    </row>
    <row r="1284" spans="1:5" x14ac:dyDescent="0.3">
      <c r="A1284" t="s">
        <v>1285</v>
      </c>
      <c r="B1284" t="s">
        <v>555</v>
      </c>
      <c r="C1284" t="s">
        <v>478</v>
      </c>
      <c r="D1284" s="1" t="str">
        <f>IFERROR(VLOOKUP(A1284,'MLR Data'!$A$2:$D$706,4,0),"")</f>
        <v/>
      </c>
      <c r="E1284" s="5" t="s">
        <v>20</v>
      </c>
    </row>
    <row r="1285" spans="1:5" x14ac:dyDescent="0.3">
      <c r="A1285" t="s">
        <v>1286</v>
      </c>
      <c r="B1285" t="s">
        <v>555</v>
      </c>
      <c r="C1285" t="s">
        <v>916</v>
      </c>
      <c r="D1285" s="1" t="str">
        <f>IFERROR(VLOOKUP(A1285,'MLR Data'!$A$2:$D$706,4,0),"")</f>
        <v/>
      </c>
    </row>
    <row r="1286" spans="1:5" x14ac:dyDescent="0.3">
      <c r="A1286" t="s">
        <v>1287</v>
      </c>
      <c r="B1286" t="s">
        <v>555</v>
      </c>
      <c r="C1286" t="s">
        <v>913</v>
      </c>
      <c r="D1286" s="1" t="str">
        <f>IFERROR(VLOOKUP(A1286,'MLR Data'!$A$2:$D$706,4,0),"")</f>
        <v/>
      </c>
      <c r="E1286" s="5" t="s">
        <v>4</v>
      </c>
    </row>
    <row r="1287" spans="1:5" x14ac:dyDescent="0.3">
      <c r="A1287" t="s">
        <v>1288</v>
      </c>
      <c r="B1287" t="s">
        <v>555</v>
      </c>
      <c r="C1287" t="s">
        <v>910</v>
      </c>
      <c r="D1287" s="1" t="str">
        <f>IFERROR(VLOOKUP(A1287,'MLR Data'!$A$2:$D$706,4,0),"")</f>
        <v/>
      </c>
    </row>
    <row r="1288" spans="1:5" x14ac:dyDescent="0.3">
      <c r="A1288" t="s">
        <v>1289</v>
      </c>
      <c r="B1288" t="s">
        <v>555</v>
      </c>
      <c r="C1288" t="s">
        <v>921</v>
      </c>
      <c r="D1288" s="1" t="str">
        <f>IFERROR(VLOOKUP(A1288,'MLR Data'!$A$2:$D$706,4,0),"")</f>
        <v/>
      </c>
      <c r="E1288" s="5" t="s">
        <v>4</v>
      </c>
    </row>
    <row r="1289" spans="1:5" x14ac:dyDescent="0.3">
      <c r="A1289" t="s">
        <v>1290</v>
      </c>
      <c r="B1289" t="s">
        <v>555</v>
      </c>
      <c r="C1289" t="s">
        <v>407</v>
      </c>
      <c r="D1289" s="1" t="str">
        <f>IFERROR(VLOOKUP(A1289,'MLR Data'!$A$2:$D$706,4,0),"")</f>
        <v/>
      </c>
      <c r="E1289" s="5" t="s">
        <v>4</v>
      </c>
    </row>
    <row r="1290" spans="1:5" x14ac:dyDescent="0.3">
      <c r="A1290" t="s">
        <v>1291</v>
      </c>
      <c r="B1290" t="s">
        <v>555</v>
      </c>
      <c r="C1290" t="s">
        <v>473</v>
      </c>
      <c r="D1290" s="1" t="str">
        <f>IFERROR(VLOOKUP(A1290,'MLR Data'!$A$2:$D$706,4,0),"")</f>
        <v/>
      </c>
    </row>
    <row r="1291" spans="1:5" x14ac:dyDescent="0.3">
      <c r="A1291" t="s">
        <v>1292</v>
      </c>
      <c r="B1291" t="s">
        <v>555</v>
      </c>
      <c r="C1291" t="s">
        <v>374</v>
      </c>
      <c r="D1291" s="1" t="str">
        <f>IFERROR(VLOOKUP(A1291,'MLR Data'!$A$2:$D$706,4,0),"")</f>
        <v/>
      </c>
    </row>
    <row r="1292" spans="1:5" x14ac:dyDescent="0.3">
      <c r="A1292" t="s">
        <v>1293</v>
      </c>
      <c r="B1292" t="s">
        <v>559</v>
      </c>
      <c r="C1292" t="s">
        <v>431</v>
      </c>
      <c r="D1292" s="1" t="str">
        <f>IFERROR(VLOOKUP(A1292,'MLR Data'!$A$2:$D$706,4,0),"")</f>
        <v/>
      </c>
    </row>
    <row r="1293" spans="1:5" x14ac:dyDescent="0.3">
      <c r="A1293" t="s">
        <v>1294</v>
      </c>
      <c r="B1293" t="s">
        <v>559</v>
      </c>
      <c r="C1293" t="s">
        <v>384</v>
      </c>
      <c r="D1293" s="1" t="str">
        <f>IFERROR(VLOOKUP(A1293,'MLR Data'!$A$2:$D$706,4,0),"")</f>
        <v/>
      </c>
    </row>
    <row r="1294" spans="1:5" x14ac:dyDescent="0.3">
      <c r="A1294" t="s">
        <v>1295</v>
      </c>
      <c r="B1294" t="s">
        <v>559</v>
      </c>
      <c r="C1294" t="s">
        <v>415</v>
      </c>
      <c r="D1294" s="1" t="str">
        <f>IFERROR(VLOOKUP(A1294,'MLR Data'!$A$2:$D$706,4,0),"")</f>
        <v/>
      </c>
      <c r="E1294" s="5" t="s">
        <v>16</v>
      </c>
    </row>
    <row r="1295" spans="1:5" x14ac:dyDescent="0.3">
      <c r="A1295" t="s">
        <v>1296</v>
      </c>
      <c r="B1295" t="s">
        <v>559</v>
      </c>
      <c r="C1295" t="s">
        <v>391</v>
      </c>
      <c r="D1295" s="1" t="str">
        <f>IFERROR(VLOOKUP(A1295,'MLR Data'!$A$2:$D$706,4,0),"")</f>
        <v/>
      </c>
    </row>
    <row r="1296" spans="1:5" x14ac:dyDescent="0.3">
      <c r="A1296" t="s">
        <v>1297</v>
      </c>
      <c r="B1296" t="s">
        <v>559</v>
      </c>
      <c r="C1296" t="s">
        <v>416</v>
      </c>
      <c r="D1296" s="1" t="str">
        <f>IFERROR(VLOOKUP(A1296,'MLR Data'!$A$2:$D$706,4,0),"")</f>
        <v/>
      </c>
    </row>
    <row r="1297" spans="1:5" x14ac:dyDescent="0.3">
      <c r="A1297" t="s">
        <v>1298</v>
      </c>
      <c r="B1297" t="s">
        <v>559</v>
      </c>
      <c r="C1297" t="s">
        <v>535</v>
      </c>
      <c r="D1297" s="1" t="str">
        <f>IFERROR(VLOOKUP(A1297,'MLR Data'!$A$2:$D$706,4,0),"")</f>
        <v/>
      </c>
    </row>
    <row r="1298" spans="1:5" x14ac:dyDescent="0.3">
      <c r="A1298" t="s">
        <v>1299</v>
      </c>
      <c r="B1298" t="s">
        <v>559</v>
      </c>
      <c r="C1298" t="s">
        <v>913</v>
      </c>
      <c r="D1298" s="1" t="str">
        <f>IFERROR(VLOOKUP(A1298,'MLR Data'!$A$2:$D$706,4,0),"")</f>
        <v/>
      </c>
      <c r="E1298" s="5" t="s">
        <v>4</v>
      </c>
    </row>
    <row r="1299" spans="1:5" x14ac:dyDescent="0.3">
      <c r="A1299" t="s">
        <v>1300</v>
      </c>
      <c r="B1299" t="s">
        <v>559</v>
      </c>
      <c r="C1299" t="s">
        <v>390</v>
      </c>
      <c r="D1299" s="1" t="str">
        <f>IFERROR(VLOOKUP(A1299,'MLR Data'!$A$2:$D$706,4,0),"")</f>
        <v/>
      </c>
    </row>
    <row r="1300" spans="1:5" x14ac:dyDescent="0.3">
      <c r="A1300" t="s">
        <v>1301</v>
      </c>
      <c r="B1300" t="s">
        <v>559</v>
      </c>
      <c r="C1300" t="s">
        <v>381</v>
      </c>
      <c r="D1300" s="1" t="str">
        <f>IFERROR(VLOOKUP(A1300,'MLR Data'!$A$2:$D$706,4,0),"")</f>
        <v/>
      </c>
    </row>
    <row r="1301" spans="1:5" x14ac:dyDescent="0.3">
      <c r="A1301" t="s">
        <v>1302</v>
      </c>
      <c r="B1301" t="s">
        <v>559</v>
      </c>
      <c r="C1301" t="s">
        <v>407</v>
      </c>
      <c r="D1301" s="1" t="str">
        <f>IFERROR(VLOOKUP(A1301,'MLR Data'!$A$2:$D$706,4,0),"")</f>
        <v/>
      </c>
      <c r="E1301" s="5" t="s">
        <v>4</v>
      </c>
    </row>
    <row r="1302" spans="1:5" x14ac:dyDescent="0.3">
      <c r="A1302" t="s">
        <v>1303</v>
      </c>
      <c r="B1302" t="s">
        <v>559</v>
      </c>
      <c r="C1302" t="s">
        <v>911</v>
      </c>
      <c r="D1302" s="1" t="str">
        <f>IFERROR(VLOOKUP(A1302,'MLR Data'!$A$2:$D$706,4,0),"")</f>
        <v/>
      </c>
    </row>
    <row r="1303" spans="1:5" x14ac:dyDescent="0.3">
      <c r="A1303" t="s">
        <v>1304</v>
      </c>
      <c r="B1303" t="s">
        <v>559</v>
      </c>
      <c r="C1303" t="s">
        <v>478</v>
      </c>
      <c r="D1303" s="1" t="str">
        <f>IFERROR(VLOOKUP(A1303,'MLR Data'!$A$2:$D$706,4,0),"")</f>
        <v/>
      </c>
      <c r="E1303" s="5" t="s">
        <v>20</v>
      </c>
    </row>
    <row r="1304" spans="1:5" x14ac:dyDescent="0.3">
      <c r="A1304" t="s">
        <v>1305</v>
      </c>
      <c r="B1304" t="s">
        <v>559</v>
      </c>
      <c r="C1304" t="s">
        <v>118</v>
      </c>
      <c r="D1304" s="1" t="str">
        <f>IFERROR(VLOOKUP(A1304,'MLR Data'!$A$2:$D$706,4,0),"")</f>
        <v>Anthem Insurance Companies, Inc.</v>
      </c>
      <c r="E1304" s="5" t="s">
        <v>118</v>
      </c>
    </row>
    <row r="1305" spans="1:5" x14ac:dyDescent="0.3">
      <c r="A1305" t="s">
        <v>1306</v>
      </c>
      <c r="B1305" t="s">
        <v>559</v>
      </c>
      <c r="C1305" t="s">
        <v>912</v>
      </c>
      <c r="D1305" s="1" t="str">
        <f>IFERROR(VLOOKUP(A1305,'MLR Data'!$A$2:$D$706,4,0),"")</f>
        <v/>
      </c>
      <c r="E1305" s="5" t="s">
        <v>13</v>
      </c>
    </row>
    <row r="1306" spans="1:5" x14ac:dyDescent="0.3">
      <c r="A1306" t="s">
        <v>1307</v>
      </c>
      <c r="B1306" t="s">
        <v>559</v>
      </c>
      <c r="C1306" t="s">
        <v>921</v>
      </c>
      <c r="D1306" s="1" t="str">
        <f>IFERROR(VLOOKUP(A1306,'MLR Data'!$A$2:$D$706,4,0),"")</f>
        <v/>
      </c>
      <c r="E1306" s="5" t="s">
        <v>4</v>
      </c>
    </row>
    <row r="1307" spans="1:5" x14ac:dyDescent="0.3">
      <c r="A1307" t="s">
        <v>1308</v>
      </c>
      <c r="B1307" t="s">
        <v>559</v>
      </c>
      <c r="C1307" t="s">
        <v>374</v>
      </c>
      <c r="D1307" s="1" t="str">
        <f>IFERROR(VLOOKUP(A1307,'MLR Data'!$A$2:$D$706,4,0),"")</f>
        <v/>
      </c>
    </row>
    <row r="1308" spans="1:5" x14ac:dyDescent="0.3">
      <c r="A1308" t="s">
        <v>1309</v>
      </c>
      <c r="B1308" t="s">
        <v>561</v>
      </c>
      <c r="C1308" t="s">
        <v>431</v>
      </c>
      <c r="D1308" s="1" t="str">
        <f>IFERROR(VLOOKUP(A1308,'MLR Data'!$A$2:$D$706,4,0),"")</f>
        <v/>
      </c>
    </row>
    <row r="1309" spans="1:5" x14ac:dyDescent="0.3">
      <c r="A1309" t="s">
        <v>1310</v>
      </c>
      <c r="B1309" t="s">
        <v>561</v>
      </c>
      <c r="C1309" t="s">
        <v>384</v>
      </c>
      <c r="D1309" s="1" t="str">
        <f>IFERROR(VLOOKUP(A1309,'MLR Data'!$A$2:$D$706,4,0),"")</f>
        <v/>
      </c>
    </row>
    <row r="1310" spans="1:5" x14ac:dyDescent="0.3">
      <c r="A1310" t="s">
        <v>1311</v>
      </c>
      <c r="B1310" t="s">
        <v>561</v>
      </c>
      <c r="C1310" t="s">
        <v>913</v>
      </c>
      <c r="D1310" s="1" t="str">
        <f>IFERROR(VLOOKUP(A1310,'MLR Data'!$A$2:$D$706,4,0),"")</f>
        <v/>
      </c>
      <c r="E1310" s="5" t="s">
        <v>4</v>
      </c>
    </row>
    <row r="1311" spans="1:5" x14ac:dyDescent="0.3">
      <c r="A1311" t="s">
        <v>1312</v>
      </c>
      <c r="B1311" t="s">
        <v>561</v>
      </c>
      <c r="C1311" t="s">
        <v>415</v>
      </c>
      <c r="D1311" s="1" t="str">
        <f>IFERROR(VLOOKUP(A1311,'MLR Data'!$A$2:$D$706,4,0),"")</f>
        <v/>
      </c>
      <c r="E1311" s="5" t="s">
        <v>16</v>
      </c>
    </row>
    <row r="1312" spans="1:5" x14ac:dyDescent="0.3">
      <c r="A1312" t="s">
        <v>1313</v>
      </c>
      <c r="B1312" t="s">
        <v>561</v>
      </c>
      <c r="C1312" t="s">
        <v>478</v>
      </c>
      <c r="D1312" s="1" t="str">
        <f>IFERROR(VLOOKUP(A1312,'MLR Data'!$A$2:$D$706,4,0),"")</f>
        <v/>
      </c>
      <c r="E1312" s="5" t="s">
        <v>20</v>
      </c>
    </row>
    <row r="1313" spans="1:5" x14ac:dyDescent="0.3">
      <c r="A1313" t="s">
        <v>1314</v>
      </c>
      <c r="B1313" t="s">
        <v>561</v>
      </c>
      <c r="C1313" t="s">
        <v>535</v>
      </c>
      <c r="D1313" s="1" t="str">
        <f>IFERROR(VLOOKUP(A1313,'MLR Data'!$A$2:$D$706,4,0),"")</f>
        <v/>
      </c>
    </row>
    <row r="1314" spans="1:5" x14ac:dyDescent="0.3">
      <c r="A1314" t="s">
        <v>1315</v>
      </c>
      <c r="B1314" t="s">
        <v>561</v>
      </c>
      <c r="C1314" t="s">
        <v>909</v>
      </c>
      <c r="D1314" s="1" t="str">
        <f>IFERROR(VLOOKUP(A1314,'MLR Data'!$A$2:$D$706,4,0),"")</f>
        <v/>
      </c>
    </row>
    <row r="1315" spans="1:5" x14ac:dyDescent="0.3">
      <c r="A1315" t="s">
        <v>1316</v>
      </c>
      <c r="B1315" t="s">
        <v>561</v>
      </c>
      <c r="C1315" t="s">
        <v>910</v>
      </c>
      <c r="D1315" s="1" t="str">
        <f>IFERROR(VLOOKUP(A1315,'MLR Data'!$A$2:$D$706,4,0),"")</f>
        <v/>
      </c>
    </row>
    <row r="1316" spans="1:5" x14ac:dyDescent="0.3">
      <c r="A1316" t="s">
        <v>1317</v>
      </c>
      <c r="B1316" t="s">
        <v>561</v>
      </c>
      <c r="C1316" t="s">
        <v>416</v>
      </c>
      <c r="D1316" s="1" t="str">
        <f>IFERROR(VLOOKUP(A1316,'MLR Data'!$A$2:$D$706,4,0),"")</f>
        <v/>
      </c>
    </row>
    <row r="1317" spans="1:5" x14ac:dyDescent="0.3">
      <c r="A1317" t="s">
        <v>1318</v>
      </c>
      <c r="B1317" t="s">
        <v>561</v>
      </c>
      <c r="C1317" t="s">
        <v>911</v>
      </c>
      <c r="D1317" s="1" t="str">
        <f>IFERROR(VLOOKUP(A1317,'MLR Data'!$A$2:$D$706,4,0),"")</f>
        <v/>
      </c>
    </row>
    <row r="1318" spans="1:5" x14ac:dyDescent="0.3">
      <c r="A1318" t="s">
        <v>1319</v>
      </c>
      <c r="B1318" t="s">
        <v>561</v>
      </c>
      <c r="C1318" t="s">
        <v>407</v>
      </c>
      <c r="D1318" s="1" t="str">
        <f>IFERROR(VLOOKUP(A1318,'MLR Data'!$A$2:$D$706,4,0),"")</f>
        <v/>
      </c>
      <c r="E1318" s="5" t="s">
        <v>4</v>
      </c>
    </row>
    <row r="1319" spans="1:5" x14ac:dyDescent="0.3">
      <c r="A1319" t="s">
        <v>1320</v>
      </c>
      <c r="B1319" t="s">
        <v>589</v>
      </c>
      <c r="C1319" t="s">
        <v>383</v>
      </c>
      <c r="D1319" s="1" t="str">
        <f>IFERROR(VLOOKUP(A1319,'MLR Data'!$A$2:$D$706,4,0),"")</f>
        <v/>
      </c>
    </row>
    <row r="1320" spans="1:5" x14ac:dyDescent="0.3">
      <c r="A1320" t="s">
        <v>1321</v>
      </c>
      <c r="B1320" t="s">
        <v>589</v>
      </c>
      <c r="C1320" t="s">
        <v>431</v>
      </c>
      <c r="D1320" s="1" t="str">
        <f>IFERROR(VLOOKUP(A1320,'MLR Data'!$A$2:$D$706,4,0),"")</f>
        <v/>
      </c>
    </row>
    <row r="1321" spans="1:5" x14ac:dyDescent="0.3">
      <c r="A1321" t="s">
        <v>1322</v>
      </c>
      <c r="B1321" t="s">
        <v>589</v>
      </c>
      <c r="C1321" t="s">
        <v>572</v>
      </c>
      <c r="D1321" s="1" t="str">
        <f>IFERROR(VLOOKUP(A1321,'MLR Data'!$A$2:$D$706,4,0),"")</f>
        <v/>
      </c>
      <c r="E1321" s="5" t="s">
        <v>142</v>
      </c>
    </row>
    <row r="1322" spans="1:5" x14ac:dyDescent="0.3">
      <c r="A1322" t="s">
        <v>1323</v>
      </c>
      <c r="B1322" t="s">
        <v>589</v>
      </c>
      <c r="C1322" t="s">
        <v>384</v>
      </c>
      <c r="D1322" s="1" t="str">
        <f>IFERROR(VLOOKUP(A1322,'MLR Data'!$A$2:$D$706,4,0),"")</f>
        <v/>
      </c>
    </row>
    <row r="1323" spans="1:5" x14ac:dyDescent="0.3">
      <c r="A1323" t="s">
        <v>1324</v>
      </c>
      <c r="B1323" t="s">
        <v>589</v>
      </c>
      <c r="C1323" t="s">
        <v>387</v>
      </c>
      <c r="D1323" s="1" t="str">
        <f>IFERROR(VLOOKUP(A1323,'MLR Data'!$A$2:$D$706,4,0),"")</f>
        <v/>
      </c>
      <c r="E1323" s="5" t="s">
        <v>4</v>
      </c>
    </row>
    <row r="1324" spans="1:5" x14ac:dyDescent="0.3">
      <c r="A1324" t="s">
        <v>1325</v>
      </c>
      <c r="B1324" t="s">
        <v>589</v>
      </c>
      <c r="C1324" t="s">
        <v>429</v>
      </c>
      <c r="D1324" s="1" t="str">
        <f>IFERROR(VLOOKUP(A1324,'MLR Data'!$A$2:$D$706,4,0),"")</f>
        <v/>
      </c>
      <c r="E1324" s="5" t="s">
        <v>9</v>
      </c>
    </row>
    <row r="1325" spans="1:5" x14ac:dyDescent="0.3">
      <c r="A1325" t="s">
        <v>1326</v>
      </c>
      <c r="B1325" t="s">
        <v>589</v>
      </c>
      <c r="C1325" t="s">
        <v>390</v>
      </c>
      <c r="D1325" s="1" t="str">
        <f>IFERROR(VLOOKUP(A1325,'MLR Data'!$A$2:$D$706,4,0),"")</f>
        <v/>
      </c>
    </row>
    <row r="1326" spans="1:5" x14ac:dyDescent="0.3">
      <c r="A1326" t="s">
        <v>1327</v>
      </c>
      <c r="B1326" t="s">
        <v>589</v>
      </c>
      <c r="C1326" t="s">
        <v>372</v>
      </c>
      <c r="D1326" s="1" t="str">
        <f>IFERROR(VLOOKUP(A1326,'MLR Data'!$A$2:$D$706,4,0),"")</f>
        <v/>
      </c>
      <c r="E1326" s="5" t="s">
        <v>15</v>
      </c>
    </row>
    <row r="1327" spans="1:5" x14ac:dyDescent="0.3">
      <c r="A1327" t="s">
        <v>1328</v>
      </c>
      <c r="B1327" t="s">
        <v>589</v>
      </c>
      <c r="C1327" t="s">
        <v>910</v>
      </c>
      <c r="D1327" s="1" t="str">
        <f>IFERROR(VLOOKUP(A1327,'MLR Data'!$A$2:$D$706,4,0),"")</f>
        <v/>
      </c>
    </row>
    <row r="1328" spans="1:5" x14ac:dyDescent="0.3">
      <c r="A1328" t="s">
        <v>1329</v>
      </c>
      <c r="B1328" t="s">
        <v>589</v>
      </c>
      <c r="C1328" t="s">
        <v>913</v>
      </c>
      <c r="D1328" s="1" t="str">
        <f>IFERROR(VLOOKUP(A1328,'MLR Data'!$A$2:$D$706,4,0),"")</f>
        <v/>
      </c>
      <c r="E1328" s="5" t="s">
        <v>141</v>
      </c>
    </row>
    <row r="1329" spans="1:5" x14ac:dyDescent="0.3">
      <c r="A1329" t="s">
        <v>1330</v>
      </c>
      <c r="B1329" t="s">
        <v>589</v>
      </c>
      <c r="C1329" t="s">
        <v>391</v>
      </c>
      <c r="D1329" s="1" t="str">
        <f>IFERROR(VLOOKUP(A1329,'MLR Data'!$A$2:$D$706,4,0),"")</f>
        <v/>
      </c>
    </row>
    <row r="1330" spans="1:5" x14ac:dyDescent="0.3">
      <c r="A1330" t="s">
        <v>1331</v>
      </c>
      <c r="B1330" t="s">
        <v>589</v>
      </c>
      <c r="C1330" t="s">
        <v>467</v>
      </c>
      <c r="D1330" s="1" t="str">
        <f>IFERROR(VLOOKUP(A1330,'MLR Data'!$A$2:$D$706,4,0),"")</f>
        <v/>
      </c>
    </row>
    <row r="1331" spans="1:5" x14ac:dyDescent="0.3">
      <c r="A1331" t="s">
        <v>1332</v>
      </c>
      <c r="B1331" t="s">
        <v>589</v>
      </c>
      <c r="C1331" t="s">
        <v>415</v>
      </c>
      <c r="D1331" s="1" t="str">
        <f>IFERROR(VLOOKUP(A1331,'MLR Data'!$A$2:$D$706,4,0),"")</f>
        <v/>
      </c>
      <c r="E1331" s="5" t="s">
        <v>16</v>
      </c>
    </row>
    <row r="1332" spans="1:5" x14ac:dyDescent="0.3">
      <c r="A1332" t="s">
        <v>1333</v>
      </c>
      <c r="B1332" t="s">
        <v>589</v>
      </c>
      <c r="C1332" t="s">
        <v>374</v>
      </c>
      <c r="D1332" s="1" t="str">
        <f>IFERROR(VLOOKUP(A1332,'MLR Data'!$A$2:$D$706,4,0),"")</f>
        <v/>
      </c>
    </row>
    <row r="1333" spans="1:5" x14ac:dyDescent="0.3">
      <c r="A1333" t="s">
        <v>1334</v>
      </c>
      <c r="B1333" t="s">
        <v>589</v>
      </c>
      <c r="C1333" t="s">
        <v>478</v>
      </c>
      <c r="D1333" s="1" t="str">
        <f>IFERROR(VLOOKUP(A1333,'MLR Data'!$A$2:$D$706,4,0),"")</f>
        <v/>
      </c>
      <c r="E1333" s="5" t="s">
        <v>20</v>
      </c>
    </row>
    <row r="1334" spans="1:5" x14ac:dyDescent="0.3">
      <c r="A1334" t="s">
        <v>1335</v>
      </c>
      <c r="B1334" t="s">
        <v>586</v>
      </c>
      <c r="C1334" t="s">
        <v>936</v>
      </c>
      <c r="D1334" s="1" t="str">
        <f>IFERROR(VLOOKUP(A1334,'MLR Data'!$A$2:$D$706,4,0),"")</f>
        <v/>
      </c>
    </row>
    <row r="1335" spans="1:5" x14ac:dyDescent="0.3">
      <c r="A1335" t="s">
        <v>1336</v>
      </c>
      <c r="B1335" t="s">
        <v>586</v>
      </c>
      <c r="C1335" t="s">
        <v>535</v>
      </c>
      <c r="D1335" s="1" t="str">
        <f>IFERROR(VLOOKUP(A1335,'MLR Data'!$A$2:$D$706,4,0),"")</f>
        <v/>
      </c>
    </row>
    <row r="1336" spans="1:5" x14ac:dyDescent="0.3">
      <c r="A1336" t="s">
        <v>1337</v>
      </c>
      <c r="B1336" t="s">
        <v>586</v>
      </c>
      <c r="C1336" t="s">
        <v>381</v>
      </c>
      <c r="D1336" s="1" t="str">
        <f>IFERROR(VLOOKUP(A1336,'MLR Data'!$A$2:$D$706,4,0),"")</f>
        <v/>
      </c>
    </row>
    <row r="1337" spans="1:5" x14ac:dyDescent="0.3">
      <c r="A1337" t="s">
        <v>1338</v>
      </c>
      <c r="B1337" t="s">
        <v>586</v>
      </c>
      <c r="C1337" t="s">
        <v>416</v>
      </c>
      <c r="D1337" s="1" t="str">
        <f>IFERROR(VLOOKUP(A1337,'MLR Data'!$A$2:$D$706,4,0),"")</f>
        <v/>
      </c>
    </row>
    <row r="1338" spans="1:5" x14ac:dyDescent="0.3">
      <c r="A1338" t="s">
        <v>1339</v>
      </c>
      <c r="B1338" t="s">
        <v>586</v>
      </c>
      <c r="C1338" t="s">
        <v>431</v>
      </c>
      <c r="D1338" s="1" t="str">
        <f>IFERROR(VLOOKUP(A1338,'MLR Data'!$A$2:$D$706,4,0),"")</f>
        <v/>
      </c>
    </row>
    <row r="1339" spans="1:5" x14ac:dyDescent="0.3">
      <c r="A1339" t="s">
        <v>1340</v>
      </c>
      <c r="B1339" t="s">
        <v>586</v>
      </c>
      <c r="C1339" t="s">
        <v>909</v>
      </c>
      <c r="D1339" s="1" t="str">
        <f>IFERROR(VLOOKUP(A1339,'MLR Data'!$A$2:$D$706,4,0),"")</f>
        <v/>
      </c>
      <c r="E1339" s="5" t="s">
        <v>16</v>
      </c>
    </row>
    <row r="1340" spans="1:5" x14ac:dyDescent="0.3">
      <c r="A1340" t="s">
        <v>1341</v>
      </c>
      <c r="B1340" t="s">
        <v>586</v>
      </c>
      <c r="C1340" t="s">
        <v>913</v>
      </c>
      <c r="D1340" s="1" t="str">
        <f>IFERROR(VLOOKUP(A1340,'MLR Data'!$A$2:$D$706,4,0),"")</f>
        <v/>
      </c>
      <c r="E1340" s="5" t="s">
        <v>4</v>
      </c>
    </row>
    <row r="1341" spans="1:5" x14ac:dyDescent="0.3">
      <c r="A1341" t="s">
        <v>1342</v>
      </c>
      <c r="B1341" t="s">
        <v>586</v>
      </c>
      <c r="C1341" t="s">
        <v>916</v>
      </c>
      <c r="D1341" s="1" t="str">
        <f>IFERROR(VLOOKUP(A1341,'MLR Data'!$A$2:$D$706,4,0),"")</f>
        <v/>
      </c>
    </row>
    <row r="1342" spans="1:5" x14ac:dyDescent="0.3">
      <c r="A1342" t="s">
        <v>1343</v>
      </c>
      <c r="B1342" t="s">
        <v>586</v>
      </c>
      <c r="C1342" t="s">
        <v>390</v>
      </c>
      <c r="D1342" s="1" t="str">
        <f>IFERROR(VLOOKUP(A1342,'MLR Data'!$A$2:$D$706,4,0),"")</f>
        <v/>
      </c>
    </row>
    <row r="1343" spans="1:5" x14ac:dyDescent="0.3">
      <c r="A1343" t="s">
        <v>1344</v>
      </c>
      <c r="B1343" t="s">
        <v>586</v>
      </c>
      <c r="C1343" t="s">
        <v>372</v>
      </c>
      <c r="D1343" s="1" t="str">
        <f>IFERROR(VLOOKUP(A1343,'MLR Data'!$A$2:$D$706,4,0),"")</f>
        <v/>
      </c>
      <c r="E1343" s="5" t="s">
        <v>15</v>
      </c>
    </row>
    <row r="1344" spans="1:5" x14ac:dyDescent="0.3">
      <c r="A1344" t="s">
        <v>1345</v>
      </c>
      <c r="B1344" t="s">
        <v>569</v>
      </c>
      <c r="C1344" t="s">
        <v>384</v>
      </c>
      <c r="D1344" s="1" t="str">
        <f>IFERROR(VLOOKUP(A1344,'MLR Data'!$A$2:$D$706,4,0),"")</f>
        <v/>
      </c>
    </row>
    <row r="1345" spans="1:5" x14ac:dyDescent="0.3">
      <c r="A1345" t="s">
        <v>1346</v>
      </c>
      <c r="B1345" t="s">
        <v>569</v>
      </c>
      <c r="C1345" t="s">
        <v>909</v>
      </c>
      <c r="D1345" s="1" t="str">
        <f>IFERROR(VLOOKUP(A1345,'MLR Data'!$A$2:$D$706,4,0),"")</f>
        <v/>
      </c>
      <c r="E1345" s="5" t="s">
        <v>16</v>
      </c>
    </row>
    <row r="1346" spans="1:5" x14ac:dyDescent="0.3">
      <c r="A1346" t="s">
        <v>1347</v>
      </c>
      <c r="B1346" t="s">
        <v>569</v>
      </c>
      <c r="C1346" t="s">
        <v>478</v>
      </c>
      <c r="D1346" s="1" t="str">
        <f>IFERROR(VLOOKUP(A1346,'MLR Data'!$A$2:$D$706,4,0),"")</f>
        <v/>
      </c>
      <c r="E1346" s="5" t="s">
        <v>20</v>
      </c>
    </row>
    <row r="1347" spans="1:5" x14ac:dyDescent="0.3">
      <c r="A1347" t="s">
        <v>1348</v>
      </c>
      <c r="B1347" t="s">
        <v>569</v>
      </c>
      <c r="C1347" t="s">
        <v>962</v>
      </c>
      <c r="D1347" s="1" t="str">
        <f>IFERROR(VLOOKUP(A1347,'MLR Data'!$A$2:$D$706,4,0),"")</f>
        <v/>
      </c>
      <c r="E1347" s="5" t="s">
        <v>150</v>
      </c>
    </row>
    <row r="1348" spans="1:5" x14ac:dyDescent="0.3">
      <c r="A1348" t="s">
        <v>1349</v>
      </c>
      <c r="B1348" t="s">
        <v>569</v>
      </c>
      <c r="C1348" t="s">
        <v>407</v>
      </c>
      <c r="D1348" s="1" t="str">
        <f>IFERROR(VLOOKUP(A1348,'MLR Data'!$A$2:$D$706,4,0),"")</f>
        <v/>
      </c>
      <c r="E1348" s="5" t="s">
        <v>4</v>
      </c>
    </row>
    <row r="1349" spans="1:5" x14ac:dyDescent="0.3">
      <c r="A1349" t="s">
        <v>1350</v>
      </c>
      <c r="B1349" t="s">
        <v>569</v>
      </c>
      <c r="C1349" t="s">
        <v>368</v>
      </c>
      <c r="D1349" s="1" t="str">
        <f>IFERROR(VLOOKUP(A1349,'MLR Data'!$A$2:$D$706,4,0),"")</f>
        <v/>
      </c>
      <c r="E1349" s="5" t="s">
        <v>20</v>
      </c>
    </row>
    <row r="1350" spans="1:5" x14ac:dyDescent="0.3">
      <c r="A1350" t="s">
        <v>1351</v>
      </c>
      <c r="B1350" t="s">
        <v>569</v>
      </c>
      <c r="C1350" t="s">
        <v>383</v>
      </c>
      <c r="D1350" s="1" t="str">
        <f>IFERROR(VLOOKUP(A1350,'MLR Data'!$A$2:$D$706,4,0),"")</f>
        <v/>
      </c>
    </row>
    <row r="1351" spans="1:5" x14ac:dyDescent="0.3">
      <c r="A1351" t="s">
        <v>1352</v>
      </c>
      <c r="B1351" t="s">
        <v>569</v>
      </c>
      <c r="C1351" t="s">
        <v>431</v>
      </c>
      <c r="D1351" s="1" t="str">
        <f>IFERROR(VLOOKUP(A1351,'MLR Data'!$A$2:$D$706,4,0),"")</f>
        <v/>
      </c>
    </row>
    <row r="1352" spans="1:5" x14ac:dyDescent="0.3">
      <c r="A1352" t="s">
        <v>1353</v>
      </c>
      <c r="B1352" t="s">
        <v>569</v>
      </c>
      <c r="C1352" t="s">
        <v>461</v>
      </c>
      <c r="D1352" s="1" t="str">
        <f>IFERROR(VLOOKUP(A1352,'MLR Data'!$A$2:$D$706,4,0),"")</f>
        <v/>
      </c>
    </row>
    <row r="1353" spans="1:5" x14ac:dyDescent="0.3">
      <c r="A1353" t="s">
        <v>1354</v>
      </c>
      <c r="B1353" t="s">
        <v>569</v>
      </c>
      <c r="C1353" t="s">
        <v>372</v>
      </c>
      <c r="D1353" s="1" t="str">
        <f>IFERROR(VLOOKUP(A1353,'MLR Data'!$A$2:$D$706,4,0),"")</f>
        <v/>
      </c>
      <c r="E1353" s="5" t="s">
        <v>15</v>
      </c>
    </row>
    <row r="1354" spans="1:5" x14ac:dyDescent="0.3">
      <c r="A1354" t="s">
        <v>1355</v>
      </c>
      <c r="B1354" t="s">
        <v>569</v>
      </c>
      <c r="C1354" t="s">
        <v>914</v>
      </c>
      <c r="D1354" s="1" t="str">
        <f>IFERROR(VLOOKUP(A1354,'MLR Data'!$A$2:$D$706,4,0),"")</f>
        <v/>
      </c>
    </row>
    <row r="1355" spans="1:5" x14ac:dyDescent="0.3">
      <c r="A1355" t="s">
        <v>1356</v>
      </c>
      <c r="B1355" t="s">
        <v>569</v>
      </c>
      <c r="C1355" t="s">
        <v>910</v>
      </c>
      <c r="D1355" s="1" t="str">
        <f>IFERROR(VLOOKUP(A1355,'MLR Data'!$A$2:$D$706,4,0),"")</f>
        <v/>
      </c>
    </row>
    <row r="1356" spans="1:5" x14ac:dyDescent="0.3">
      <c r="A1356" t="s">
        <v>1357</v>
      </c>
      <c r="B1356" t="s">
        <v>569</v>
      </c>
      <c r="C1356" t="s">
        <v>913</v>
      </c>
      <c r="D1356" s="1" t="str">
        <f>IFERROR(VLOOKUP(A1356,'MLR Data'!$A$2:$D$706,4,0),"")</f>
        <v/>
      </c>
      <c r="E1356" s="5" t="s">
        <v>4</v>
      </c>
    </row>
    <row r="1357" spans="1:5" x14ac:dyDescent="0.3">
      <c r="A1357" t="s">
        <v>1358</v>
      </c>
      <c r="B1357" t="s">
        <v>569</v>
      </c>
      <c r="C1357" t="s">
        <v>390</v>
      </c>
      <c r="D1357" s="1" t="str">
        <f>IFERROR(VLOOKUP(A1357,'MLR Data'!$A$2:$D$706,4,0),"")</f>
        <v/>
      </c>
    </row>
    <row r="1358" spans="1:5" x14ac:dyDescent="0.3">
      <c r="A1358" t="s">
        <v>1359</v>
      </c>
      <c r="B1358" t="s">
        <v>569</v>
      </c>
      <c r="C1358" t="s">
        <v>451</v>
      </c>
      <c r="D1358" s="1" t="str">
        <f>IFERROR(VLOOKUP(A1358,'MLR Data'!$A$2:$D$706,4,0),"")</f>
        <v/>
      </c>
    </row>
    <row r="1359" spans="1:5" x14ac:dyDescent="0.3">
      <c r="A1359" t="s">
        <v>1360</v>
      </c>
      <c r="B1359" t="s">
        <v>592</v>
      </c>
      <c r="C1359" t="s">
        <v>431</v>
      </c>
      <c r="D1359" s="1" t="str">
        <f>IFERROR(VLOOKUP(A1359,'MLR Data'!$A$2:$D$706,4,0),"")</f>
        <v/>
      </c>
    </row>
    <row r="1360" spans="1:5" x14ac:dyDescent="0.3">
      <c r="A1360" t="s">
        <v>1361</v>
      </c>
      <c r="B1360" t="s">
        <v>592</v>
      </c>
      <c r="C1360" t="s">
        <v>478</v>
      </c>
      <c r="D1360" s="1" t="str">
        <f>IFERROR(VLOOKUP(A1360,'MLR Data'!$A$2:$D$706,4,0),"")</f>
        <v/>
      </c>
      <c r="E1360" s="5" t="s">
        <v>20</v>
      </c>
    </row>
    <row r="1361" spans="1:5" x14ac:dyDescent="0.3">
      <c r="A1361" t="s">
        <v>1362</v>
      </c>
      <c r="B1361" t="s">
        <v>592</v>
      </c>
      <c r="C1361" t="s">
        <v>916</v>
      </c>
      <c r="D1361" s="1" t="str">
        <f>IFERROR(VLOOKUP(A1361,'MLR Data'!$A$2:$D$706,4,0),"")</f>
        <v/>
      </c>
    </row>
    <row r="1362" spans="1:5" x14ac:dyDescent="0.3">
      <c r="A1362" t="s">
        <v>1363</v>
      </c>
      <c r="B1362" t="s">
        <v>592</v>
      </c>
      <c r="C1362" t="s">
        <v>910</v>
      </c>
      <c r="D1362" s="1" t="str">
        <f>IFERROR(VLOOKUP(A1362,'MLR Data'!$A$2:$D$706,4,0),"")</f>
        <v/>
      </c>
    </row>
    <row r="1363" spans="1:5" x14ac:dyDescent="0.3">
      <c r="A1363" t="s">
        <v>1364</v>
      </c>
      <c r="B1363" t="s">
        <v>592</v>
      </c>
      <c r="C1363" t="s">
        <v>391</v>
      </c>
      <c r="D1363" s="1" t="str">
        <f>IFERROR(VLOOKUP(A1363,'MLR Data'!$A$2:$D$706,4,0),"")</f>
        <v/>
      </c>
    </row>
    <row r="1364" spans="1:5" x14ac:dyDescent="0.3">
      <c r="A1364" t="s">
        <v>1365</v>
      </c>
      <c r="B1364" t="s">
        <v>592</v>
      </c>
      <c r="C1364" t="s">
        <v>383</v>
      </c>
      <c r="D1364" s="1" t="str">
        <f>IFERROR(VLOOKUP(A1364,'MLR Data'!$A$2:$D$706,4,0),"")</f>
        <v/>
      </c>
    </row>
    <row r="1365" spans="1:5" x14ac:dyDescent="0.3">
      <c r="A1365" t="s">
        <v>1366</v>
      </c>
      <c r="B1365" t="s">
        <v>592</v>
      </c>
      <c r="C1365" t="s">
        <v>909</v>
      </c>
      <c r="D1365" s="1" t="str">
        <f>IFERROR(VLOOKUP(A1365,'MLR Data'!$A$2:$D$706,4,0),"")</f>
        <v/>
      </c>
      <c r="E1365" s="5" t="s">
        <v>16</v>
      </c>
    </row>
    <row r="1366" spans="1:5" x14ac:dyDescent="0.3">
      <c r="A1366" t="s">
        <v>1367</v>
      </c>
      <c r="B1366" t="s">
        <v>592</v>
      </c>
      <c r="C1366" t="s">
        <v>913</v>
      </c>
      <c r="D1366" s="1" t="str">
        <f>IFERROR(VLOOKUP(A1366,'MLR Data'!$A$2:$D$706,4,0),"")</f>
        <v/>
      </c>
      <c r="E1366" s="5" t="s">
        <v>4</v>
      </c>
    </row>
    <row r="1367" spans="1:5" x14ac:dyDescent="0.3">
      <c r="A1367" t="s">
        <v>1368</v>
      </c>
      <c r="B1367" t="s">
        <v>592</v>
      </c>
      <c r="C1367" t="s">
        <v>374</v>
      </c>
      <c r="D1367" s="1" t="str">
        <f>IFERROR(VLOOKUP(A1367,'MLR Data'!$A$2:$D$706,4,0),"")</f>
        <v/>
      </c>
    </row>
    <row r="1368" spans="1:5" x14ac:dyDescent="0.3">
      <c r="A1368" t="s">
        <v>1369</v>
      </c>
      <c r="B1368" t="s">
        <v>592</v>
      </c>
      <c r="C1368" t="s">
        <v>921</v>
      </c>
      <c r="D1368" s="1" t="str">
        <f>IFERROR(VLOOKUP(A1368,'MLR Data'!$A$2:$D$706,4,0),"")</f>
        <v/>
      </c>
      <c r="E1368" s="5" t="s">
        <v>4</v>
      </c>
    </row>
    <row r="1369" spans="1:5" x14ac:dyDescent="0.3">
      <c r="A1369" t="s">
        <v>1370</v>
      </c>
      <c r="B1369" t="s">
        <v>608</v>
      </c>
      <c r="C1369" t="s">
        <v>963</v>
      </c>
      <c r="D1369" s="1" t="str">
        <f>IFERROR(VLOOKUP(A1369,'MLR Data'!$A$2:$D$706,4,0),"")</f>
        <v/>
      </c>
      <c r="E1369" s="5" t="s">
        <v>177</v>
      </c>
    </row>
    <row r="1370" spans="1:5" x14ac:dyDescent="0.3">
      <c r="A1370" t="s">
        <v>1371</v>
      </c>
      <c r="B1370" t="s">
        <v>608</v>
      </c>
      <c r="C1370" t="s">
        <v>431</v>
      </c>
      <c r="D1370" s="1" t="str">
        <f>IFERROR(VLOOKUP(A1370,'MLR Data'!$A$2:$D$706,4,0),"")</f>
        <v/>
      </c>
    </row>
    <row r="1371" spans="1:5" x14ac:dyDescent="0.3">
      <c r="A1371" t="s">
        <v>1372</v>
      </c>
      <c r="B1371" t="s">
        <v>608</v>
      </c>
      <c r="C1371" t="s">
        <v>964</v>
      </c>
      <c r="D1371" s="1" t="str">
        <f>IFERROR(VLOOKUP(A1371,'MLR Data'!$A$2:$D$706,4,0),"")</f>
        <v/>
      </c>
      <c r="E1371" s="5" t="s">
        <v>177</v>
      </c>
    </row>
    <row r="1372" spans="1:5" x14ac:dyDescent="0.3">
      <c r="A1372" t="s">
        <v>1373</v>
      </c>
      <c r="B1372" t="s">
        <v>608</v>
      </c>
      <c r="C1372" t="s">
        <v>391</v>
      </c>
      <c r="D1372" s="1" t="str">
        <f>IFERROR(VLOOKUP(A1372,'MLR Data'!$A$2:$D$706,4,0),"")</f>
        <v/>
      </c>
    </row>
    <row r="1373" spans="1:5" x14ac:dyDescent="0.3">
      <c r="A1373" t="s">
        <v>1374</v>
      </c>
      <c r="B1373" t="s">
        <v>608</v>
      </c>
      <c r="C1373" t="s">
        <v>416</v>
      </c>
      <c r="D1373" s="1" t="str">
        <f>IFERROR(VLOOKUP(A1373,'MLR Data'!$A$2:$D$706,4,0),"")</f>
        <v/>
      </c>
    </row>
    <row r="1374" spans="1:5" x14ac:dyDescent="0.3">
      <c r="A1374" t="s">
        <v>1375</v>
      </c>
      <c r="B1374" t="s">
        <v>608</v>
      </c>
      <c r="C1374" t="s">
        <v>913</v>
      </c>
      <c r="D1374" s="1" t="str">
        <f>IFERROR(VLOOKUP(A1374,'MLR Data'!$A$2:$D$706,4,0),"")</f>
        <v/>
      </c>
      <c r="E1374" s="5" t="s">
        <v>4</v>
      </c>
    </row>
    <row r="1375" spans="1:5" x14ac:dyDescent="0.3">
      <c r="A1375" t="s">
        <v>1376</v>
      </c>
      <c r="B1375" t="s">
        <v>608</v>
      </c>
      <c r="C1375" t="s">
        <v>368</v>
      </c>
      <c r="D1375" s="1" t="str">
        <f>IFERROR(VLOOKUP(A1375,'MLR Data'!$A$2:$D$706,4,0),"")</f>
        <v/>
      </c>
      <c r="E1375" s="5" t="s">
        <v>20</v>
      </c>
    </row>
    <row r="1376" spans="1:5" x14ac:dyDescent="0.3">
      <c r="A1376" t="s">
        <v>1377</v>
      </c>
      <c r="B1376" t="s">
        <v>608</v>
      </c>
      <c r="C1376" t="s">
        <v>390</v>
      </c>
      <c r="D1376" s="1" t="str">
        <f>IFERROR(VLOOKUP(A1376,'MLR Data'!$A$2:$D$706,4,0),"")</f>
        <v/>
      </c>
    </row>
    <row r="1377" spans="1:5" x14ac:dyDescent="0.3">
      <c r="A1377" t="s">
        <v>1378</v>
      </c>
      <c r="B1377" t="s">
        <v>608</v>
      </c>
      <c r="C1377" t="s">
        <v>909</v>
      </c>
      <c r="D1377" s="1" t="str">
        <f>IFERROR(VLOOKUP(A1377,'MLR Data'!$A$2:$D$706,4,0),"")</f>
        <v/>
      </c>
      <c r="E1377" s="5" t="s">
        <v>16</v>
      </c>
    </row>
    <row r="1378" spans="1:5" x14ac:dyDescent="0.3">
      <c r="A1378" t="s">
        <v>1379</v>
      </c>
      <c r="B1378" t="s">
        <v>608</v>
      </c>
      <c r="C1378" t="s">
        <v>965</v>
      </c>
      <c r="D1378" s="1" t="str">
        <f>IFERROR(VLOOKUP(A1378,'MLR Data'!$A$2:$D$706,4,0),"")</f>
        <v/>
      </c>
    </row>
    <row r="1379" spans="1:5" x14ac:dyDescent="0.3">
      <c r="A1379" t="s">
        <v>1380</v>
      </c>
      <c r="B1379" t="s">
        <v>608</v>
      </c>
      <c r="C1379" t="s">
        <v>916</v>
      </c>
      <c r="D1379" s="1" t="str">
        <f>IFERROR(VLOOKUP(A1379,'MLR Data'!$A$2:$D$706,4,0),"")</f>
        <v/>
      </c>
    </row>
    <row r="1380" spans="1:5" x14ac:dyDescent="0.3">
      <c r="A1380" t="s">
        <v>1381</v>
      </c>
      <c r="B1380" t="s">
        <v>608</v>
      </c>
      <c r="C1380" t="s">
        <v>966</v>
      </c>
      <c r="D1380" s="1" t="str">
        <f>IFERROR(VLOOKUP(A1380,'MLR Data'!$A$2:$D$706,4,0),"")</f>
        <v/>
      </c>
      <c r="E1380" s="5" t="s">
        <v>181</v>
      </c>
    </row>
    <row r="1381" spans="1:5" x14ac:dyDescent="0.3">
      <c r="A1381" t="s">
        <v>1382</v>
      </c>
      <c r="B1381" t="s">
        <v>608</v>
      </c>
      <c r="C1381" t="s">
        <v>967</v>
      </c>
      <c r="D1381" s="1" t="str">
        <f>IFERROR(VLOOKUP(A1381,'MLR Data'!$A$2:$D$706,4,0),"")</f>
        <v/>
      </c>
    </row>
    <row r="1382" spans="1:5" x14ac:dyDescent="0.3">
      <c r="A1382" t="s">
        <v>1383</v>
      </c>
      <c r="B1382" t="s">
        <v>608</v>
      </c>
      <c r="C1382" t="s">
        <v>407</v>
      </c>
      <c r="D1382" s="1" t="str">
        <f>IFERROR(VLOOKUP(A1382,'MLR Data'!$A$2:$D$706,4,0),"")</f>
        <v/>
      </c>
      <c r="E1382" s="5" t="s">
        <v>4</v>
      </c>
    </row>
    <row r="1383" spans="1:5" x14ac:dyDescent="0.3">
      <c r="A1383" t="s">
        <v>1384</v>
      </c>
      <c r="B1383" t="s">
        <v>608</v>
      </c>
      <c r="C1383" t="s">
        <v>914</v>
      </c>
      <c r="D1383" s="1" t="str">
        <f>IFERROR(VLOOKUP(A1383,'MLR Data'!$A$2:$D$706,4,0),"")</f>
        <v/>
      </c>
    </row>
    <row r="1384" spans="1:5" x14ac:dyDescent="0.3">
      <c r="A1384" t="s">
        <v>1385</v>
      </c>
      <c r="B1384" t="s">
        <v>626</v>
      </c>
      <c r="C1384" t="s">
        <v>909</v>
      </c>
      <c r="D1384" s="1" t="str">
        <f>IFERROR(VLOOKUP(A1384,'MLR Data'!$A$2:$D$706,4,0),"")</f>
        <v/>
      </c>
      <c r="E1384" s="5" t="s">
        <v>16</v>
      </c>
    </row>
    <row r="1385" spans="1:5" x14ac:dyDescent="0.3">
      <c r="A1385" t="s">
        <v>1386</v>
      </c>
      <c r="B1385" t="s">
        <v>626</v>
      </c>
      <c r="C1385" t="s">
        <v>391</v>
      </c>
      <c r="D1385" s="1" t="str">
        <f>IFERROR(VLOOKUP(A1385,'MLR Data'!$A$2:$D$706,4,0),"")</f>
        <v/>
      </c>
    </row>
    <row r="1386" spans="1:5" x14ac:dyDescent="0.3">
      <c r="A1386" t="s">
        <v>1387</v>
      </c>
      <c r="B1386" t="s">
        <v>626</v>
      </c>
      <c r="C1386" t="s">
        <v>431</v>
      </c>
      <c r="D1386" s="1" t="str">
        <f>IFERROR(VLOOKUP(A1386,'MLR Data'!$A$2:$D$706,4,0),"")</f>
        <v/>
      </c>
    </row>
    <row r="1387" spans="1:5" x14ac:dyDescent="0.3">
      <c r="A1387" t="s">
        <v>1388</v>
      </c>
      <c r="B1387" t="s">
        <v>626</v>
      </c>
      <c r="C1387" t="s">
        <v>911</v>
      </c>
      <c r="D1387" s="1" t="str">
        <f>IFERROR(VLOOKUP(A1387,'MLR Data'!$A$2:$D$706,4,0),"")</f>
        <v/>
      </c>
    </row>
    <row r="1388" spans="1:5" x14ac:dyDescent="0.3">
      <c r="A1388" t="s">
        <v>1389</v>
      </c>
      <c r="B1388" t="s">
        <v>626</v>
      </c>
      <c r="C1388" t="s">
        <v>415</v>
      </c>
      <c r="D1388" s="1" t="str">
        <f>IFERROR(VLOOKUP(A1388,'MLR Data'!$A$2:$D$706,4,0),"")</f>
        <v/>
      </c>
      <c r="E1388" s="5" t="s">
        <v>16</v>
      </c>
    </row>
    <row r="1389" spans="1:5" x14ac:dyDescent="0.3">
      <c r="A1389" t="s">
        <v>1390</v>
      </c>
      <c r="B1389" t="s">
        <v>626</v>
      </c>
      <c r="C1389" t="s">
        <v>535</v>
      </c>
      <c r="D1389" s="1" t="str">
        <f>IFERROR(VLOOKUP(A1389,'MLR Data'!$A$2:$D$706,4,0),"")</f>
        <v/>
      </c>
    </row>
    <row r="1390" spans="1:5" x14ac:dyDescent="0.3">
      <c r="A1390" t="s">
        <v>1391</v>
      </c>
      <c r="B1390" t="s">
        <v>626</v>
      </c>
      <c r="C1390" t="s">
        <v>746</v>
      </c>
      <c r="D1390" s="1" t="str">
        <f>IFERROR(VLOOKUP(A1390,'MLR Data'!$A$2:$D$706,4,0),"")</f>
        <v/>
      </c>
    </row>
    <row r="1391" spans="1:5" x14ac:dyDescent="0.3">
      <c r="A1391" t="s">
        <v>1392</v>
      </c>
      <c r="B1391" t="s">
        <v>626</v>
      </c>
      <c r="C1391" t="s">
        <v>407</v>
      </c>
      <c r="D1391" s="1" t="str">
        <f>IFERROR(VLOOKUP(A1391,'MLR Data'!$A$2:$D$706,4,0),"")</f>
        <v/>
      </c>
      <c r="E1391" s="5" t="s">
        <v>4</v>
      </c>
    </row>
    <row r="1392" spans="1:5" x14ac:dyDescent="0.3">
      <c r="A1392" t="s">
        <v>1393</v>
      </c>
      <c r="B1392" t="s">
        <v>626</v>
      </c>
      <c r="C1392" t="s">
        <v>913</v>
      </c>
      <c r="D1392" s="1" t="str">
        <f>IFERROR(VLOOKUP(A1392,'MLR Data'!$A$2:$D$706,4,0),"")</f>
        <v/>
      </c>
      <c r="E1392" s="5" t="s">
        <v>4</v>
      </c>
    </row>
    <row r="1393" spans="1:5" x14ac:dyDescent="0.3">
      <c r="A1393" t="s">
        <v>1394</v>
      </c>
      <c r="B1393" t="s">
        <v>626</v>
      </c>
      <c r="C1393" t="s">
        <v>798</v>
      </c>
      <c r="D1393" s="1" t="str">
        <f>IFERROR(VLOOKUP(A1393,'MLR Data'!$A$2:$D$706,4,0),"")</f>
        <v/>
      </c>
      <c r="E1393" s="5" t="s">
        <v>111</v>
      </c>
    </row>
    <row r="1394" spans="1:5" x14ac:dyDescent="0.3">
      <c r="A1394" t="s">
        <v>1395</v>
      </c>
      <c r="B1394" t="s">
        <v>626</v>
      </c>
      <c r="C1394" t="s">
        <v>368</v>
      </c>
      <c r="D1394" s="1" t="str">
        <f>IFERROR(VLOOKUP(A1394,'MLR Data'!$A$2:$D$706,4,0),"")</f>
        <v/>
      </c>
      <c r="E1394" s="5" t="s">
        <v>20</v>
      </c>
    </row>
    <row r="1395" spans="1:5" x14ac:dyDescent="0.3">
      <c r="A1395" t="s">
        <v>1396</v>
      </c>
      <c r="B1395" t="s">
        <v>626</v>
      </c>
      <c r="C1395" t="s">
        <v>478</v>
      </c>
      <c r="D1395" s="1" t="str">
        <f>IFERROR(VLOOKUP(A1395,'MLR Data'!$A$2:$D$706,4,0),"")</f>
        <v/>
      </c>
      <c r="E1395" s="5" t="s">
        <v>20</v>
      </c>
    </row>
    <row r="1396" spans="1:5" x14ac:dyDescent="0.3">
      <c r="A1396" t="s">
        <v>1397</v>
      </c>
      <c r="B1396" t="s">
        <v>621</v>
      </c>
      <c r="C1396" t="s">
        <v>385</v>
      </c>
      <c r="D1396" s="1" t="str">
        <f>IFERROR(VLOOKUP(A1396,'MLR Data'!$A$2:$D$706,4,0),"")</f>
        <v/>
      </c>
    </row>
    <row r="1397" spans="1:5" x14ac:dyDescent="0.3">
      <c r="A1397" t="s">
        <v>1398</v>
      </c>
      <c r="B1397" t="s">
        <v>621</v>
      </c>
      <c r="C1397" t="s">
        <v>911</v>
      </c>
      <c r="D1397" s="1" t="str">
        <f>IFERROR(VLOOKUP(A1397,'MLR Data'!$A$2:$D$706,4,0),"")</f>
        <v/>
      </c>
    </row>
    <row r="1398" spans="1:5" x14ac:dyDescent="0.3">
      <c r="A1398" t="s">
        <v>1399</v>
      </c>
      <c r="B1398" t="s">
        <v>621</v>
      </c>
      <c r="C1398" t="s">
        <v>374</v>
      </c>
      <c r="D1398" s="1" t="str">
        <f>IFERROR(VLOOKUP(A1398,'MLR Data'!$A$2:$D$706,4,0),"")</f>
        <v/>
      </c>
    </row>
    <row r="1399" spans="1:5" x14ac:dyDescent="0.3">
      <c r="A1399" t="s">
        <v>1400</v>
      </c>
      <c r="B1399" t="s">
        <v>621</v>
      </c>
      <c r="C1399" t="s">
        <v>724</v>
      </c>
      <c r="D1399" s="1" t="str">
        <f>IFERROR(VLOOKUP(A1399,'MLR Data'!$A$2:$D$706,4,0),"")</f>
        <v/>
      </c>
    </row>
    <row r="1400" spans="1:5" x14ac:dyDescent="0.3">
      <c r="A1400" t="s">
        <v>1401</v>
      </c>
      <c r="B1400" t="s">
        <v>621</v>
      </c>
      <c r="C1400" t="s">
        <v>431</v>
      </c>
      <c r="D1400" s="1" t="str">
        <f>IFERROR(VLOOKUP(A1400,'MLR Data'!$A$2:$D$706,4,0),"")</f>
        <v/>
      </c>
    </row>
    <row r="1401" spans="1:5" x14ac:dyDescent="0.3">
      <c r="A1401" t="s">
        <v>1402</v>
      </c>
      <c r="B1401" t="s">
        <v>621</v>
      </c>
      <c r="C1401" t="s">
        <v>416</v>
      </c>
      <c r="D1401" s="1" t="str">
        <f>IFERROR(VLOOKUP(A1401,'MLR Data'!$A$2:$D$706,4,0),"")</f>
        <v/>
      </c>
    </row>
    <row r="1402" spans="1:5" x14ac:dyDescent="0.3">
      <c r="A1402" t="s">
        <v>1403</v>
      </c>
      <c r="B1402" t="s">
        <v>621</v>
      </c>
      <c r="C1402" t="s">
        <v>535</v>
      </c>
      <c r="D1402" s="1" t="str">
        <f>IFERROR(VLOOKUP(A1402,'MLR Data'!$A$2:$D$706,4,0),"")</f>
        <v/>
      </c>
    </row>
    <row r="1403" spans="1:5" x14ac:dyDescent="0.3">
      <c r="A1403" t="s">
        <v>1404</v>
      </c>
      <c r="B1403" t="s">
        <v>621</v>
      </c>
      <c r="C1403" t="s">
        <v>429</v>
      </c>
      <c r="D1403" s="1" t="str">
        <f>IFERROR(VLOOKUP(A1403,'MLR Data'!$A$2:$D$706,4,0),"")</f>
        <v/>
      </c>
      <c r="E1403" s="5" t="s">
        <v>9</v>
      </c>
    </row>
    <row r="1404" spans="1:5" x14ac:dyDescent="0.3">
      <c r="A1404" t="s">
        <v>1405</v>
      </c>
      <c r="B1404" t="s">
        <v>621</v>
      </c>
      <c r="C1404" t="s">
        <v>913</v>
      </c>
      <c r="D1404" s="1" t="str">
        <f>IFERROR(VLOOKUP(A1404,'MLR Data'!$A$2:$D$706,4,0),"")</f>
        <v/>
      </c>
      <c r="E1404" s="5" t="s">
        <v>4</v>
      </c>
    </row>
    <row r="1405" spans="1:5" x14ac:dyDescent="0.3">
      <c r="A1405" t="s">
        <v>1406</v>
      </c>
      <c r="B1405" t="s">
        <v>621</v>
      </c>
      <c r="C1405" t="s">
        <v>405</v>
      </c>
      <c r="D1405" s="1" t="str">
        <f>IFERROR(VLOOKUP(A1405,'MLR Data'!$A$2:$D$706,4,0),"")</f>
        <v/>
      </c>
    </row>
    <row r="1406" spans="1:5" x14ac:dyDescent="0.3">
      <c r="A1406" t="s">
        <v>1407</v>
      </c>
      <c r="B1406" t="s">
        <v>621</v>
      </c>
      <c r="C1406" t="s">
        <v>953</v>
      </c>
      <c r="D1406" s="1" t="str">
        <f>IFERROR(VLOOKUP(A1406,'MLR Data'!$A$2:$D$706,4,0),"")</f>
        <v/>
      </c>
    </row>
    <row r="1407" spans="1:5" x14ac:dyDescent="0.3">
      <c r="A1407" t="s">
        <v>1408</v>
      </c>
      <c r="B1407" t="s">
        <v>621</v>
      </c>
      <c r="C1407" t="s">
        <v>909</v>
      </c>
      <c r="D1407" s="1" t="str">
        <f>IFERROR(VLOOKUP(A1407,'MLR Data'!$A$2:$D$706,4,0),"")</f>
        <v/>
      </c>
      <c r="E1407" s="5" t="s">
        <v>16</v>
      </c>
    </row>
    <row r="1408" spans="1:5" x14ac:dyDescent="0.3">
      <c r="A1408" t="s">
        <v>1409</v>
      </c>
      <c r="B1408" t="s">
        <v>621</v>
      </c>
      <c r="C1408" t="s">
        <v>910</v>
      </c>
      <c r="D1408" s="1" t="str">
        <f>IFERROR(VLOOKUP(A1408,'MLR Data'!$A$2:$D$706,4,0),"")</f>
        <v/>
      </c>
    </row>
    <row r="1409" spans="1:5" x14ac:dyDescent="0.3">
      <c r="A1409" t="s">
        <v>1410</v>
      </c>
      <c r="B1409" t="s">
        <v>621</v>
      </c>
      <c r="C1409" t="s">
        <v>921</v>
      </c>
      <c r="D1409" s="1" t="str">
        <f>IFERROR(VLOOKUP(A1409,'MLR Data'!$A$2:$D$706,4,0),"")</f>
        <v/>
      </c>
      <c r="E1409" s="5" t="s">
        <v>4</v>
      </c>
    </row>
    <row r="1410" spans="1:5" x14ac:dyDescent="0.3">
      <c r="A1410" t="s">
        <v>1411</v>
      </c>
      <c r="B1410" t="s">
        <v>621</v>
      </c>
      <c r="C1410" t="s">
        <v>407</v>
      </c>
      <c r="D1410" s="1" t="str">
        <f>IFERROR(VLOOKUP(A1410,'MLR Data'!$A$2:$D$706,4,0),"")</f>
        <v/>
      </c>
      <c r="E1410" s="5" t="s">
        <v>4</v>
      </c>
    </row>
    <row r="1411" spans="1:5" x14ac:dyDescent="0.3">
      <c r="A1411" t="s">
        <v>1412</v>
      </c>
      <c r="B1411" t="s">
        <v>628</v>
      </c>
      <c r="C1411" t="s">
        <v>535</v>
      </c>
      <c r="D1411" s="1" t="str">
        <f>IFERROR(VLOOKUP(A1411,'MLR Data'!$A$2:$D$706,4,0),"")</f>
        <v/>
      </c>
    </row>
    <row r="1412" spans="1:5" x14ac:dyDescent="0.3">
      <c r="A1412" t="s">
        <v>1413</v>
      </c>
      <c r="B1412" t="s">
        <v>628</v>
      </c>
      <c r="C1412" t="s">
        <v>383</v>
      </c>
      <c r="D1412" s="1" t="str">
        <f>IFERROR(VLOOKUP(A1412,'MLR Data'!$A$2:$D$706,4,0),"")</f>
        <v/>
      </c>
    </row>
    <row r="1413" spans="1:5" x14ac:dyDescent="0.3">
      <c r="A1413" t="s">
        <v>1414</v>
      </c>
      <c r="B1413" t="s">
        <v>628</v>
      </c>
      <c r="C1413" t="s">
        <v>968</v>
      </c>
      <c r="D1413" s="1" t="str">
        <f>IFERROR(VLOOKUP(A1413,'MLR Data'!$A$2:$D$706,4,0),"")</f>
        <v/>
      </c>
      <c r="E1413" s="5" t="s">
        <v>191</v>
      </c>
    </row>
    <row r="1414" spans="1:5" x14ac:dyDescent="0.3">
      <c r="A1414" t="s">
        <v>1415</v>
      </c>
      <c r="B1414" t="s">
        <v>628</v>
      </c>
      <c r="C1414" t="s">
        <v>431</v>
      </c>
      <c r="D1414" s="1" t="str">
        <f>IFERROR(VLOOKUP(A1414,'MLR Data'!$A$2:$D$706,4,0),"")</f>
        <v/>
      </c>
    </row>
    <row r="1415" spans="1:5" x14ac:dyDescent="0.3">
      <c r="A1415" t="s">
        <v>1416</v>
      </c>
      <c r="B1415" t="s">
        <v>628</v>
      </c>
      <c r="C1415" t="s">
        <v>916</v>
      </c>
      <c r="D1415" s="1" t="str">
        <f>IFERROR(VLOOKUP(A1415,'MLR Data'!$A$2:$D$706,4,0),"")</f>
        <v/>
      </c>
    </row>
    <row r="1416" spans="1:5" x14ac:dyDescent="0.3">
      <c r="A1416" t="s">
        <v>1417</v>
      </c>
      <c r="B1416" t="s">
        <v>628</v>
      </c>
      <c r="C1416" t="s">
        <v>381</v>
      </c>
      <c r="D1416" s="1" t="str">
        <f>IFERROR(VLOOKUP(A1416,'MLR Data'!$A$2:$D$706,4,0),"")</f>
        <v/>
      </c>
    </row>
    <row r="1417" spans="1:5" x14ac:dyDescent="0.3">
      <c r="A1417" t="s">
        <v>1418</v>
      </c>
      <c r="B1417" t="s">
        <v>628</v>
      </c>
      <c r="C1417" t="s">
        <v>415</v>
      </c>
      <c r="D1417" s="1" t="str">
        <f>IFERROR(VLOOKUP(A1417,'MLR Data'!$A$2:$D$706,4,0),"")</f>
        <v/>
      </c>
    </row>
    <row r="1418" spans="1:5" x14ac:dyDescent="0.3">
      <c r="A1418" t="s">
        <v>1419</v>
      </c>
      <c r="B1418" t="s">
        <v>628</v>
      </c>
      <c r="C1418" t="s">
        <v>969</v>
      </c>
      <c r="D1418" s="1" t="str">
        <f>IFERROR(VLOOKUP(A1418,'MLR Data'!$A$2:$D$706,4,0),"")</f>
        <v/>
      </c>
      <c r="E1418" s="5" t="s">
        <v>192</v>
      </c>
    </row>
    <row r="1419" spans="1:5" x14ac:dyDescent="0.3">
      <c r="A1419" t="s">
        <v>1420</v>
      </c>
      <c r="B1419" t="s">
        <v>628</v>
      </c>
      <c r="C1419" t="s">
        <v>909</v>
      </c>
      <c r="D1419" s="1" t="str">
        <f>IFERROR(VLOOKUP(A1419,'MLR Data'!$A$2:$D$706,4,0),"")</f>
        <v/>
      </c>
      <c r="E1419" s="5" t="s">
        <v>16</v>
      </c>
    </row>
    <row r="1420" spans="1:5" x14ac:dyDescent="0.3">
      <c r="A1420" t="s">
        <v>1421</v>
      </c>
      <c r="B1420" t="s">
        <v>628</v>
      </c>
      <c r="C1420" t="s">
        <v>913</v>
      </c>
      <c r="D1420" s="1" t="str">
        <f>IFERROR(VLOOKUP(A1420,'MLR Data'!$A$2:$D$706,4,0),"")</f>
        <v/>
      </c>
      <c r="E1420" s="5" t="s">
        <v>4</v>
      </c>
    </row>
    <row r="1421" spans="1:5" x14ac:dyDescent="0.3">
      <c r="A1421" t="s">
        <v>1422</v>
      </c>
      <c r="B1421" t="s">
        <v>628</v>
      </c>
      <c r="C1421" t="s">
        <v>478</v>
      </c>
      <c r="D1421" s="1" t="str">
        <f>IFERROR(VLOOKUP(A1421,'MLR Data'!$A$2:$D$706,4,0),"")</f>
        <v/>
      </c>
      <c r="E1421" s="5" t="s">
        <v>20</v>
      </c>
    </row>
    <row r="1422" spans="1:5" x14ac:dyDescent="0.3">
      <c r="A1422" t="s">
        <v>1423</v>
      </c>
      <c r="B1422" t="s">
        <v>628</v>
      </c>
      <c r="C1422" t="s">
        <v>407</v>
      </c>
      <c r="D1422" s="1" t="str">
        <f>IFERROR(VLOOKUP(A1422,'MLR Data'!$A$2:$D$706,4,0),"")</f>
        <v/>
      </c>
      <c r="E1422" s="5" t="s">
        <v>4</v>
      </c>
    </row>
    <row r="1423" spans="1:5" x14ac:dyDescent="0.3">
      <c r="A1423" t="s">
        <v>1424</v>
      </c>
      <c r="B1423" t="s">
        <v>628</v>
      </c>
      <c r="C1423" t="s">
        <v>737</v>
      </c>
      <c r="D1423" s="1" t="str">
        <f>IFERROR(VLOOKUP(A1423,'MLR Data'!$A$2:$D$706,4,0),"")</f>
        <v/>
      </c>
    </row>
    <row r="1424" spans="1:5" x14ac:dyDescent="0.3">
      <c r="A1424" t="s">
        <v>1425</v>
      </c>
      <c r="B1424" t="s">
        <v>638</v>
      </c>
      <c r="C1424" t="s">
        <v>916</v>
      </c>
      <c r="D1424" s="1" t="str">
        <f>IFERROR(VLOOKUP(A1424,'MLR Data'!$A$2:$D$706,4,0),"")</f>
        <v/>
      </c>
    </row>
    <row r="1425" spans="1:5" x14ac:dyDescent="0.3">
      <c r="A1425" t="s">
        <v>1426</v>
      </c>
      <c r="B1425" t="s">
        <v>638</v>
      </c>
      <c r="C1425" t="s">
        <v>431</v>
      </c>
      <c r="D1425" s="1" t="str">
        <f>IFERROR(VLOOKUP(A1425,'MLR Data'!$A$2:$D$706,4,0),"")</f>
        <v/>
      </c>
    </row>
    <row r="1426" spans="1:5" x14ac:dyDescent="0.3">
      <c r="A1426" t="s">
        <v>1427</v>
      </c>
      <c r="B1426" t="s">
        <v>638</v>
      </c>
      <c r="C1426" t="s">
        <v>535</v>
      </c>
      <c r="D1426" s="1" t="str">
        <f>IFERROR(VLOOKUP(A1426,'MLR Data'!$A$2:$D$706,4,0),"")</f>
        <v/>
      </c>
    </row>
    <row r="1427" spans="1:5" x14ac:dyDescent="0.3">
      <c r="A1427" t="s">
        <v>1428</v>
      </c>
      <c r="B1427" t="s">
        <v>638</v>
      </c>
      <c r="C1427" t="s">
        <v>391</v>
      </c>
      <c r="D1427" s="1" t="str">
        <f>IFERROR(VLOOKUP(A1427,'MLR Data'!$A$2:$D$706,4,0),"")</f>
        <v/>
      </c>
    </row>
    <row r="1428" spans="1:5" x14ac:dyDescent="0.3">
      <c r="A1428" t="s">
        <v>1429</v>
      </c>
      <c r="B1428" t="s">
        <v>638</v>
      </c>
      <c r="C1428" t="s">
        <v>909</v>
      </c>
      <c r="D1428" s="1" t="str">
        <f>IFERROR(VLOOKUP(A1428,'MLR Data'!$A$2:$D$706,4,0),"")</f>
        <v/>
      </c>
      <c r="E1428" s="5" t="s">
        <v>16</v>
      </c>
    </row>
    <row r="1429" spans="1:5" x14ac:dyDescent="0.3">
      <c r="A1429" t="s">
        <v>1430</v>
      </c>
      <c r="B1429" t="s">
        <v>638</v>
      </c>
      <c r="C1429" t="s">
        <v>194</v>
      </c>
      <c r="D1429" s="1" t="str">
        <f>IFERROR(VLOOKUP(A1429,'MLR Data'!$A$2:$D$706,4,0),"")</f>
        <v>Blue Cross and Blue Shield of Nebraska</v>
      </c>
      <c r="E1429" s="5" t="s">
        <v>194</v>
      </c>
    </row>
    <row r="1430" spans="1:5" x14ac:dyDescent="0.3">
      <c r="A1430" t="s">
        <v>1431</v>
      </c>
      <c r="B1430" t="s">
        <v>638</v>
      </c>
      <c r="C1430" t="s">
        <v>381</v>
      </c>
      <c r="D1430" s="1" t="str">
        <f>IFERROR(VLOOKUP(A1430,'MLR Data'!$A$2:$D$706,4,0),"")</f>
        <v/>
      </c>
    </row>
    <row r="1431" spans="1:5" x14ac:dyDescent="0.3">
      <c r="A1431" t="s">
        <v>1432</v>
      </c>
      <c r="B1431" t="s">
        <v>638</v>
      </c>
      <c r="C1431" t="s">
        <v>380</v>
      </c>
      <c r="D1431" s="1" t="str">
        <f>IFERROR(VLOOKUP(A1431,'MLR Data'!$A$2:$D$706,4,0),"")</f>
        <v/>
      </c>
      <c r="E1431" s="5" t="s">
        <v>195</v>
      </c>
    </row>
    <row r="1432" spans="1:5" x14ac:dyDescent="0.3">
      <c r="A1432" t="s">
        <v>1433</v>
      </c>
      <c r="B1432" t="s">
        <v>638</v>
      </c>
      <c r="C1432" t="s">
        <v>913</v>
      </c>
      <c r="D1432" s="1" t="str">
        <f>IFERROR(VLOOKUP(A1432,'MLR Data'!$A$2:$D$706,4,0),"")</f>
        <v/>
      </c>
      <c r="E1432" s="5" t="s">
        <v>4</v>
      </c>
    </row>
    <row r="1433" spans="1:5" x14ac:dyDescent="0.3">
      <c r="A1433" t="s">
        <v>1434</v>
      </c>
      <c r="B1433" t="s">
        <v>638</v>
      </c>
      <c r="C1433" t="s">
        <v>407</v>
      </c>
      <c r="D1433" s="1" t="str">
        <f>IFERROR(VLOOKUP(A1433,'MLR Data'!$A$2:$D$706,4,0),"")</f>
        <v/>
      </c>
      <c r="E1433" s="5" t="s">
        <v>4</v>
      </c>
    </row>
    <row r="1434" spans="1:5" x14ac:dyDescent="0.3">
      <c r="A1434" t="s">
        <v>1435</v>
      </c>
      <c r="B1434" t="s">
        <v>638</v>
      </c>
      <c r="C1434" t="s">
        <v>970</v>
      </c>
      <c r="D1434" s="1" t="str">
        <f>IFERROR(VLOOKUP(A1434,'MLR Data'!$A$2:$D$706,4,0),"")</f>
        <v/>
      </c>
      <c r="E1434" s="5" t="s">
        <v>195</v>
      </c>
    </row>
    <row r="1435" spans="1:5" x14ac:dyDescent="0.3">
      <c r="A1435" t="s">
        <v>1436</v>
      </c>
      <c r="B1435" t="s">
        <v>638</v>
      </c>
      <c r="C1435" t="s">
        <v>912</v>
      </c>
      <c r="D1435" s="1" t="str">
        <f>IFERROR(VLOOKUP(A1435,'MLR Data'!$A$2:$D$706,4,0),"")</f>
        <v/>
      </c>
      <c r="E1435" s="5" t="s">
        <v>13</v>
      </c>
    </row>
    <row r="1436" spans="1:5" x14ac:dyDescent="0.3">
      <c r="A1436" t="s">
        <v>1437</v>
      </c>
      <c r="B1436" t="s">
        <v>660</v>
      </c>
      <c r="C1436" t="s">
        <v>384</v>
      </c>
      <c r="D1436" s="1" t="str">
        <f>IFERROR(VLOOKUP(A1436,'MLR Data'!$A$2:$D$706,4,0),"")</f>
        <v/>
      </c>
    </row>
    <row r="1437" spans="1:5" x14ac:dyDescent="0.3">
      <c r="A1437" t="s">
        <v>1438</v>
      </c>
      <c r="B1437" t="s">
        <v>660</v>
      </c>
      <c r="C1437" t="s">
        <v>31</v>
      </c>
      <c r="D1437" s="1" t="str">
        <f>IFERROR(VLOOKUP(A1437,'MLR Data'!$A$2:$D$706,4,0),"")</f>
        <v>Sierra Health and Life Insurance Company, Inc.</v>
      </c>
      <c r="E1437" s="5" t="s">
        <v>31</v>
      </c>
    </row>
    <row r="1438" spans="1:5" x14ac:dyDescent="0.3">
      <c r="A1438" t="s">
        <v>1439</v>
      </c>
      <c r="B1438" t="s">
        <v>660</v>
      </c>
      <c r="C1438" t="s">
        <v>431</v>
      </c>
      <c r="D1438" s="1" t="str">
        <f>IFERROR(VLOOKUP(A1438,'MLR Data'!$A$2:$D$706,4,0),"")</f>
        <v/>
      </c>
    </row>
    <row r="1439" spans="1:5" x14ac:dyDescent="0.3">
      <c r="A1439" t="s">
        <v>1440</v>
      </c>
      <c r="B1439" t="s">
        <v>660</v>
      </c>
      <c r="C1439" t="s">
        <v>535</v>
      </c>
      <c r="D1439" s="1" t="str">
        <f>IFERROR(VLOOKUP(A1439,'MLR Data'!$A$2:$D$706,4,0),"")</f>
        <v/>
      </c>
    </row>
    <row r="1440" spans="1:5" x14ac:dyDescent="0.3">
      <c r="A1440" t="s">
        <v>1441</v>
      </c>
      <c r="B1440" t="s">
        <v>660</v>
      </c>
      <c r="C1440" t="s">
        <v>415</v>
      </c>
      <c r="D1440" s="1" t="str">
        <f>IFERROR(VLOOKUP(A1440,'MLR Data'!$A$2:$D$706,4,0),"")</f>
        <v/>
      </c>
      <c r="E1440" s="5" t="s">
        <v>16</v>
      </c>
    </row>
    <row r="1441" spans="1:5" x14ac:dyDescent="0.3">
      <c r="A1441" t="s">
        <v>1442</v>
      </c>
      <c r="B1441" t="s">
        <v>660</v>
      </c>
      <c r="C1441" t="s">
        <v>381</v>
      </c>
      <c r="D1441" s="1" t="str">
        <f>IFERROR(VLOOKUP(A1441,'MLR Data'!$A$2:$D$706,4,0),"")</f>
        <v/>
      </c>
    </row>
    <row r="1442" spans="1:5" x14ac:dyDescent="0.3">
      <c r="A1442" t="s">
        <v>1443</v>
      </c>
      <c r="B1442" t="s">
        <v>660</v>
      </c>
      <c r="C1442" t="s">
        <v>383</v>
      </c>
      <c r="D1442" s="1" t="str">
        <f>IFERROR(VLOOKUP(A1442,'MLR Data'!$A$2:$D$706,4,0),"")</f>
        <v/>
      </c>
    </row>
    <row r="1443" spans="1:5" x14ac:dyDescent="0.3">
      <c r="A1443" t="s">
        <v>1444</v>
      </c>
      <c r="B1443" t="s">
        <v>660</v>
      </c>
      <c r="C1443" t="s">
        <v>391</v>
      </c>
      <c r="D1443" s="1" t="str">
        <f>IFERROR(VLOOKUP(A1443,'MLR Data'!$A$2:$D$706,4,0),"")</f>
        <v/>
      </c>
    </row>
    <row r="1444" spans="1:5" x14ac:dyDescent="0.3">
      <c r="A1444" t="s">
        <v>1445</v>
      </c>
      <c r="B1444" t="s">
        <v>660</v>
      </c>
      <c r="C1444" t="s">
        <v>971</v>
      </c>
      <c r="D1444" s="1" t="str">
        <f>IFERROR(VLOOKUP(A1444,'MLR Data'!$A$2:$D$706,4,0),"")</f>
        <v/>
      </c>
    </row>
    <row r="1445" spans="1:5" x14ac:dyDescent="0.3">
      <c r="A1445" t="s">
        <v>1446</v>
      </c>
      <c r="B1445" t="s">
        <v>660</v>
      </c>
      <c r="C1445" t="s">
        <v>918</v>
      </c>
      <c r="D1445" s="1" t="str">
        <f>IFERROR(VLOOKUP(A1445,'MLR Data'!$A$2:$D$706,4,0),"")</f>
        <v/>
      </c>
    </row>
    <row r="1446" spans="1:5" x14ac:dyDescent="0.3">
      <c r="A1446" t="s">
        <v>1447</v>
      </c>
      <c r="B1446" t="s">
        <v>660</v>
      </c>
      <c r="C1446" t="s">
        <v>972</v>
      </c>
      <c r="D1446" s="1" t="str">
        <f>IFERROR(VLOOKUP(A1446,'MLR Data'!$A$2:$D$706,4,0),"")</f>
        <v/>
      </c>
    </row>
    <row r="1447" spans="1:5" x14ac:dyDescent="0.3">
      <c r="A1447" t="s">
        <v>1448</v>
      </c>
      <c r="B1447" t="s">
        <v>660</v>
      </c>
      <c r="C1447" t="s">
        <v>911</v>
      </c>
      <c r="D1447" s="1" t="str">
        <f>IFERROR(VLOOKUP(A1447,'MLR Data'!$A$2:$D$706,4,0),"")</f>
        <v/>
      </c>
    </row>
    <row r="1448" spans="1:5" x14ac:dyDescent="0.3">
      <c r="A1448" t="s">
        <v>1449</v>
      </c>
      <c r="B1448" t="s">
        <v>660</v>
      </c>
      <c r="C1448" t="s">
        <v>910</v>
      </c>
      <c r="D1448" s="1" t="str">
        <f>IFERROR(VLOOKUP(A1448,'MLR Data'!$A$2:$D$706,4,0),"")</f>
        <v/>
      </c>
    </row>
    <row r="1449" spans="1:5" x14ac:dyDescent="0.3">
      <c r="A1449" t="s">
        <v>1450</v>
      </c>
      <c r="B1449" t="s">
        <v>660</v>
      </c>
      <c r="C1449" t="s">
        <v>913</v>
      </c>
      <c r="D1449" s="1" t="str">
        <f>IFERROR(VLOOKUP(A1449,'MLR Data'!$A$2:$D$706,4,0),"")</f>
        <v/>
      </c>
      <c r="E1449" s="5" t="s">
        <v>4</v>
      </c>
    </row>
    <row r="1450" spans="1:5" x14ac:dyDescent="0.3">
      <c r="A1450" t="s">
        <v>1451</v>
      </c>
      <c r="B1450" t="s">
        <v>640</v>
      </c>
      <c r="C1450" t="s">
        <v>387</v>
      </c>
      <c r="D1450" s="1" t="str">
        <f>IFERROR(VLOOKUP(A1450,'MLR Data'!$A$2:$D$706,4,0),"")</f>
        <v/>
      </c>
      <c r="E1450" s="5" t="s">
        <v>4</v>
      </c>
    </row>
    <row r="1451" spans="1:5" x14ac:dyDescent="0.3">
      <c r="A1451" t="s">
        <v>1452</v>
      </c>
      <c r="B1451" t="s">
        <v>640</v>
      </c>
      <c r="C1451" t="s">
        <v>431</v>
      </c>
      <c r="D1451" s="1" t="str">
        <f>IFERROR(VLOOKUP(A1451,'MLR Data'!$A$2:$D$706,4,0),"")</f>
        <v/>
      </c>
    </row>
    <row r="1452" spans="1:5" x14ac:dyDescent="0.3">
      <c r="A1452" t="s">
        <v>1453</v>
      </c>
      <c r="B1452" t="s">
        <v>640</v>
      </c>
      <c r="C1452" t="s">
        <v>478</v>
      </c>
      <c r="D1452" s="1" t="str">
        <f>IFERROR(VLOOKUP(A1452,'MLR Data'!$A$2:$D$706,4,0),"")</f>
        <v/>
      </c>
      <c r="E1452" s="5" t="s">
        <v>20</v>
      </c>
    </row>
    <row r="1453" spans="1:5" x14ac:dyDescent="0.3">
      <c r="A1453" t="s">
        <v>1454</v>
      </c>
      <c r="B1453" t="s">
        <v>640</v>
      </c>
      <c r="C1453" t="s">
        <v>415</v>
      </c>
      <c r="D1453" s="1" t="str">
        <f>IFERROR(VLOOKUP(A1453,'MLR Data'!$A$2:$D$706,4,0),"")</f>
        <v/>
      </c>
      <c r="E1453" s="5" t="s">
        <v>16</v>
      </c>
    </row>
    <row r="1454" spans="1:5" x14ac:dyDescent="0.3">
      <c r="A1454" t="s">
        <v>1455</v>
      </c>
      <c r="B1454" t="s">
        <v>640</v>
      </c>
      <c r="C1454" t="s">
        <v>391</v>
      </c>
      <c r="D1454" s="1" t="str">
        <f>IFERROR(VLOOKUP(A1454,'MLR Data'!$A$2:$D$706,4,0),"")</f>
        <v/>
      </c>
    </row>
    <row r="1455" spans="1:5" x14ac:dyDescent="0.3">
      <c r="A1455" t="s">
        <v>1456</v>
      </c>
      <c r="B1455" t="s">
        <v>640</v>
      </c>
      <c r="C1455" t="s">
        <v>416</v>
      </c>
      <c r="D1455" s="1" t="str">
        <f>IFERROR(VLOOKUP(A1455,'MLR Data'!$A$2:$D$706,4,0),"")</f>
        <v/>
      </c>
    </row>
    <row r="1456" spans="1:5" x14ac:dyDescent="0.3">
      <c r="A1456" t="s">
        <v>1457</v>
      </c>
      <c r="B1456" t="s">
        <v>640</v>
      </c>
      <c r="C1456" t="s">
        <v>383</v>
      </c>
      <c r="D1456" s="1" t="str">
        <f>IFERROR(VLOOKUP(A1456,'MLR Data'!$A$2:$D$706,4,0),"")</f>
        <v/>
      </c>
    </row>
    <row r="1457" spans="1:5" x14ac:dyDescent="0.3">
      <c r="A1457" t="s">
        <v>1458</v>
      </c>
      <c r="B1457" t="s">
        <v>640</v>
      </c>
      <c r="C1457" t="s">
        <v>384</v>
      </c>
      <c r="D1457" s="1" t="str">
        <f>IFERROR(VLOOKUP(A1457,'MLR Data'!$A$2:$D$706,4,0),"")</f>
        <v/>
      </c>
    </row>
    <row r="1458" spans="1:5" x14ac:dyDescent="0.3">
      <c r="A1458" t="s">
        <v>1459</v>
      </c>
      <c r="B1458" t="s">
        <v>640</v>
      </c>
      <c r="C1458" t="s">
        <v>921</v>
      </c>
      <c r="D1458" s="1" t="str">
        <f>IFERROR(VLOOKUP(A1458,'MLR Data'!$A$2:$D$706,4,0),"")</f>
        <v/>
      </c>
      <c r="E1458" s="5" t="s">
        <v>4</v>
      </c>
    </row>
    <row r="1459" spans="1:5" x14ac:dyDescent="0.3">
      <c r="A1459" t="s">
        <v>1460</v>
      </c>
      <c r="B1459" t="s">
        <v>640</v>
      </c>
      <c r="C1459" t="s">
        <v>463</v>
      </c>
      <c r="D1459" s="1" t="str">
        <f>IFERROR(VLOOKUP(A1459,'MLR Data'!$A$2:$D$706,4,0),"")</f>
        <v/>
      </c>
    </row>
    <row r="1460" spans="1:5" x14ac:dyDescent="0.3">
      <c r="A1460" t="s">
        <v>1461</v>
      </c>
      <c r="B1460" t="s">
        <v>640</v>
      </c>
      <c r="C1460" t="s">
        <v>724</v>
      </c>
      <c r="D1460" s="1" t="str">
        <f>IFERROR(VLOOKUP(A1460,'MLR Data'!$A$2:$D$706,4,0),"")</f>
        <v/>
      </c>
    </row>
    <row r="1461" spans="1:5" x14ac:dyDescent="0.3">
      <c r="A1461" t="s">
        <v>1462</v>
      </c>
      <c r="B1461" t="s">
        <v>640</v>
      </c>
      <c r="C1461" t="s">
        <v>467</v>
      </c>
      <c r="D1461" s="1" t="str">
        <f>IFERROR(VLOOKUP(A1461,'MLR Data'!$A$2:$D$706,4,0),"")</f>
        <v/>
      </c>
    </row>
    <row r="1462" spans="1:5" x14ac:dyDescent="0.3">
      <c r="A1462" t="s">
        <v>1463</v>
      </c>
      <c r="B1462" t="s">
        <v>640</v>
      </c>
      <c r="C1462" t="s">
        <v>913</v>
      </c>
      <c r="D1462" s="1" t="str">
        <f>IFERROR(VLOOKUP(A1462,'MLR Data'!$A$2:$D$706,4,0),"")</f>
        <v/>
      </c>
      <c r="E1462" s="5" t="s">
        <v>4</v>
      </c>
    </row>
    <row r="1463" spans="1:5" x14ac:dyDescent="0.3">
      <c r="A1463" t="s">
        <v>1464</v>
      </c>
      <c r="B1463" t="s">
        <v>641</v>
      </c>
      <c r="C1463" t="s">
        <v>973</v>
      </c>
      <c r="D1463" s="1" t="str">
        <f>IFERROR(VLOOKUP(A1463,'MLR Data'!$A$2:$D$706,4,0),"")</f>
        <v/>
      </c>
    </row>
    <row r="1464" spans="1:5" x14ac:dyDescent="0.3">
      <c r="A1464" t="s">
        <v>1465</v>
      </c>
      <c r="B1464" t="s">
        <v>641</v>
      </c>
      <c r="C1464" t="s">
        <v>909</v>
      </c>
      <c r="D1464" s="1" t="str">
        <f>IFERROR(VLOOKUP(A1464,'MLR Data'!$A$2:$D$706,4,0),"")</f>
        <v/>
      </c>
      <c r="E1464" s="5" t="s">
        <v>16</v>
      </c>
    </row>
    <row r="1465" spans="1:5" x14ac:dyDescent="0.3">
      <c r="A1465" t="s">
        <v>1466</v>
      </c>
      <c r="B1465" t="s">
        <v>641</v>
      </c>
      <c r="C1465" t="s">
        <v>391</v>
      </c>
      <c r="D1465" s="1" t="str">
        <f>IFERROR(VLOOKUP(A1465,'MLR Data'!$A$2:$D$706,4,0),"")</f>
        <v/>
      </c>
    </row>
    <row r="1466" spans="1:5" x14ac:dyDescent="0.3">
      <c r="A1466" t="s">
        <v>1467</v>
      </c>
      <c r="B1466" t="s">
        <v>641</v>
      </c>
      <c r="C1466" t="s">
        <v>431</v>
      </c>
      <c r="D1466" s="1" t="str">
        <f>IFERROR(VLOOKUP(A1466,'MLR Data'!$A$2:$D$706,4,0),"")</f>
        <v/>
      </c>
    </row>
    <row r="1467" spans="1:5" x14ac:dyDescent="0.3">
      <c r="A1467" t="s">
        <v>1468</v>
      </c>
      <c r="B1467" t="s">
        <v>641</v>
      </c>
      <c r="C1467" t="s">
        <v>384</v>
      </c>
      <c r="D1467" s="1" t="str">
        <f>IFERROR(VLOOKUP(A1467,'MLR Data'!$A$2:$D$706,4,0),"")</f>
        <v/>
      </c>
    </row>
    <row r="1468" spans="1:5" x14ac:dyDescent="0.3">
      <c r="A1468" t="s">
        <v>1469</v>
      </c>
      <c r="B1468" t="s">
        <v>641</v>
      </c>
      <c r="C1468" t="s">
        <v>387</v>
      </c>
      <c r="D1468" s="1" t="str">
        <f>IFERROR(VLOOKUP(A1468,'MLR Data'!$A$2:$D$706,4,0),"")</f>
        <v/>
      </c>
      <c r="E1468" s="5" t="s">
        <v>4</v>
      </c>
    </row>
    <row r="1469" spans="1:5" x14ac:dyDescent="0.3">
      <c r="A1469" t="s">
        <v>1470</v>
      </c>
      <c r="B1469" t="s">
        <v>641</v>
      </c>
      <c r="C1469" t="s">
        <v>478</v>
      </c>
      <c r="D1469" s="1" t="str">
        <f>IFERROR(VLOOKUP(A1469,'MLR Data'!$A$2:$D$706,4,0),"")</f>
        <v/>
      </c>
      <c r="E1469" s="5" t="s">
        <v>20</v>
      </c>
    </row>
    <row r="1470" spans="1:5" x14ac:dyDescent="0.3">
      <c r="A1470" t="s">
        <v>1471</v>
      </c>
      <c r="B1470" t="s">
        <v>641</v>
      </c>
      <c r="C1470" t="s">
        <v>416</v>
      </c>
      <c r="D1470" s="1" t="str">
        <f>IFERROR(VLOOKUP(A1470,'MLR Data'!$A$2:$D$706,4,0),"")</f>
        <v/>
      </c>
    </row>
    <row r="1471" spans="1:5" x14ac:dyDescent="0.3">
      <c r="A1471" t="s">
        <v>1472</v>
      </c>
      <c r="B1471" t="s">
        <v>641</v>
      </c>
      <c r="C1471" t="s">
        <v>473</v>
      </c>
      <c r="D1471" s="1" t="str">
        <f>IFERROR(VLOOKUP(A1471,'MLR Data'!$A$2:$D$706,4,0),"")</f>
        <v/>
      </c>
    </row>
    <row r="1472" spans="1:5" x14ac:dyDescent="0.3">
      <c r="A1472" t="s">
        <v>1473</v>
      </c>
      <c r="B1472" t="s">
        <v>641</v>
      </c>
      <c r="C1472" t="s">
        <v>415</v>
      </c>
      <c r="D1472" s="1" t="str">
        <f>IFERROR(VLOOKUP(A1472,'MLR Data'!$A$2:$D$706,4,0),"")</f>
        <v/>
      </c>
      <c r="E1472" s="5" t="s">
        <v>16</v>
      </c>
    </row>
    <row r="1473" spans="1:5" x14ac:dyDescent="0.3">
      <c r="A1473" t="s">
        <v>1474</v>
      </c>
      <c r="B1473" t="s">
        <v>641</v>
      </c>
      <c r="C1473" t="s">
        <v>746</v>
      </c>
      <c r="D1473" s="1" t="str">
        <f>IFERROR(VLOOKUP(A1473,'MLR Data'!$A$2:$D$706,4,0),"")</f>
        <v/>
      </c>
    </row>
    <row r="1474" spans="1:5" x14ac:dyDescent="0.3">
      <c r="A1474" t="s">
        <v>1475</v>
      </c>
      <c r="B1474" t="s">
        <v>641</v>
      </c>
      <c r="C1474" t="s">
        <v>913</v>
      </c>
      <c r="D1474" s="1" t="str">
        <f>IFERROR(VLOOKUP(A1474,'MLR Data'!$A$2:$D$706,4,0),"")</f>
        <v/>
      </c>
      <c r="E1474" s="5" t="s">
        <v>4</v>
      </c>
    </row>
    <row r="1475" spans="1:5" x14ac:dyDescent="0.3">
      <c r="A1475" t="s">
        <v>1476</v>
      </c>
      <c r="B1475" t="s">
        <v>641</v>
      </c>
      <c r="C1475" t="s">
        <v>390</v>
      </c>
      <c r="D1475" s="1" t="str">
        <f>IFERROR(VLOOKUP(A1475,'MLR Data'!$A$2:$D$706,4,0),"")</f>
        <v/>
      </c>
    </row>
    <row r="1476" spans="1:5" x14ac:dyDescent="0.3">
      <c r="A1476" t="s">
        <v>1477</v>
      </c>
      <c r="B1476" t="s">
        <v>641</v>
      </c>
      <c r="C1476" t="s">
        <v>921</v>
      </c>
      <c r="D1476" s="1" t="str">
        <f>IFERROR(VLOOKUP(A1476,'MLR Data'!$A$2:$D$706,4,0),"")</f>
        <v/>
      </c>
      <c r="E1476" s="5" t="s">
        <v>4</v>
      </c>
    </row>
    <row r="1477" spans="1:5" x14ac:dyDescent="0.3">
      <c r="A1477" t="s">
        <v>1478</v>
      </c>
      <c r="B1477" t="s">
        <v>641</v>
      </c>
      <c r="C1477" t="s">
        <v>372</v>
      </c>
      <c r="D1477" s="1" t="str">
        <f>IFERROR(VLOOKUP(A1477,'MLR Data'!$A$2:$D$706,4,0),"")</f>
        <v/>
      </c>
      <c r="E1477" s="5" t="s">
        <v>15</v>
      </c>
    </row>
    <row r="1478" spans="1:5" x14ac:dyDescent="0.3">
      <c r="A1478" t="s">
        <v>1479</v>
      </c>
      <c r="B1478" t="s">
        <v>649</v>
      </c>
      <c r="C1478" t="s">
        <v>429</v>
      </c>
      <c r="D1478" s="1" t="str">
        <f>IFERROR(VLOOKUP(A1478,'MLR Data'!$A$2:$D$706,4,0),"")</f>
        <v/>
      </c>
      <c r="E1478" s="5" t="s">
        <v>9</v>
      </c>
    </row>
    <row r="1479" spans="1:5" x14ac:dyDescent="0.3">
      <c r="A1479" t="s">
        <v>1480</v>
      </c>
      <c r="B1479" t="s">
        <v>649</v>
      </c>
      <c r="C1479" t="s">
        <v>415</v>
      </c>
      <c r="D1479" s="1" t="str">
        <f>IFERROR(VLOOKUP(A1479,'MLR Data'!$A$2:$D$706,4,0),"")</f>
        <v/>
      </c>
      <c r="E1479" s="5" t="s">
        <v>16</v>
      </c>
    </row>
    <row r="1480" spans="1:5" x14ac:dyDescent="0.3">
      <c r="A1480" t="s">
        <v>1481</v>
      </c>
      <c r="B1480" t="s">
        <v>649</v>
      </c>
      <c r="C1480" t="s">
        <v>391</v>
      </c>
      <c r="D1480" s="1" t="str">
        <f>IFERROR(VLOOKUP(A1480,'MLR Data'!$A$2:$D$706,4,0),"")</f>
        <v/>
      </c>
    </row>
    <row r="1481" spans="1:5" x14ac:dyDescent="0.3">
      <c r="A1481" t="s">
        <v>1482</v>
      </c>
      <c r="B1481" t="s">
        <v>649</v>
      </c>
      <c r="C1481" t="s">
        <v>381</v>
      </c>
      <c r="D1481" s="1" t="str">
        <f>IFERROR(VLOOKUP(A1481,'MLR Data'!$A$2:$D$706,4,0),"")</f>
        <v/>
      </c>
    </row>
    <row r="1482" spans="1:5" x14ac:dyDescent="0.3">
      <c r="A1482" t="s">
        <v>1483</v>
      </c>
      <c r="B1482" t="s">
        <v>649</v>
      </c>
      <c r="C1482" t="s">
        <v>974</v>
      </c>
      <c r="D1482" s="1" t="str">
        <f>IFERROR(VLOOKUP(A1482,'MLR Data'!$A$2:$D$706,4,0),"")</f>
        <v/>
      </c>
      <c r="E1482" s="5" t="s">
        <v>215</v>
      </c>
    </row>
    <row r="1483" spans="1:5" x14ac:dyDescent="0.3">
      <c r="A1483" t="s">
        <v>1484</v>
      </c>
      <c r="B1483" t="s">
        <v>649</v>
      </c>
      <c r="C1483" t="s">
        <v>913</v>
      </c>
      <c r="D1483" s="1" t="str">
        <f>IFERROR(VLOOKUP(A1483,'MLR Data'!$A$2:$D$706,4,0),"")</f>
        <v/>
      </c>
      <c r="E1483" s="5" t="s">
        <v>4</v>
      </c>
    </row>
    <row r="1484" spans="1:5" x14ac:dyDescent="0.3">
      <c r="A1484" t="s">
        <v>1485</v>
      </c>
      <c r="B1484" t="s">
        <v>649</v>
      </c>
      <c r="C1484" t="s">
        <v>975</v>
      </c>
      <c r="D1484" s="1" t="str">
        <f>IFERROR(VLOOKUP(A1484,'MLR Data'!$A$2:$D$706,4,0),"")</f>
        <v/>
      </c>
      <c r="E1484" s="5" t="s">
        <v>211</v>
      </c>
    </row>
    <row r="1485" spans="1:5" x14ac:dyDescent="0.3">
      <c r="A1485" t="s">
        <v>1486</v>
      </c>
      <c r="B1485" t="s">
        <v>649</v>
      </c>
      <c r="C1485" t="s">
        <v>478</v>
      </c>
      <c r="D1485" s="1" t="str">
        <f>IFERROR(VLOOKUP(A1485,'MLR Data'!$A$2:$D$706,4,0),"")</f>
        <v/>
      </c>
      <c r="E1485" s="5" t="s">
        <v>20</v>
      </c>
    </row>
    <row r="1486" spans="1:5" x14ac:dyDescent="0.3">
      <c r="A1486" t="s">
        <v>1487</v>
      </c>
      <c r="B1486" t="s">
        <v>649</v>
      </c>
      <c r="C1486" t="s">
        <v>911</v>
      </c>
      <c r="D1486" s="1" t="str">
        <f>IFERROR(VLOOKUP(A1486,'MLR Data'!$A$2:$D$706,4,0),"")</f>
        <v/>
      </c>
    </row>
    <row r="1487" spans="1:5" x14ac:dyDescent="0.3">
      <c r="A1487" t="s">
        <v>1488</v>
      </c>
      <c r="B1487" t="s">
        <v>649</v>
      </c>
      <c r="C1487" t="s">
        <v>451</v>
      </c>
      <c r="D1487" s="1" t="str">
        <f>IFERROR(VLOOKUP(A1487,'MLR Data'!$A$2:$D$706,4,0),"")</f>
        <v/>
      </c>
    </row>
    <row r="1488" spans="1:5" x14ac:dyDescent="0.3">
      <c r="A1488" t="s">
        <v>1489</v>
      </c>
      <c r="B1488" t="s">
        <v>649</v>
      </c>
      <c r="C1488" t="s">
        <v>387</v>
      </c>
      <c r="D1488" s="1" t="str">
        <f>IFERROR(VLOOKUP(A1488,'MLR Data'!$A$2:$D$706,4,0),"")</f>
        <v/>
      </c>
      <c r="E1488" s="5" t="s">
        <v>4</v>
      </c>
    </row>
    <row r="1489" spans="1:5" x14ac:dyDescent="0.3">
      <c r="A1489" t="s">
        <v>1490</v>
      </c>
      <c r="B1489" t="s">
        <v>649</v>
      </c>
      <c r="C1489" t="s">
        <v>385</v>
      </c>
      <c r="D1489" s="1" t="str">
        <f>IFERROR(VLOOKUP(A1489,'MLR Data'!$A$2:$D$706,4,0),"")</f>
        <v/>
      </c>
    </row>
    <row r="1490" spans="1:5" x14ac:dyDescent="0.3">
      <c r="A1490" t="s">
        <v>1491</v>
      </c>
      <c r="B1490" t="s">
        <v>649</v>
      </c>
      <c r="C1490" t="s">
        <v>461</v>
      </c>
      <c r="D1490" s="1" t="str">
        <f>IFERROR(VLOOKUP(A1490,'MLR Data'!$A$2:$D$706,4,0),"")</f>
        <v/>
      </c>
    </row>
    <row r="1491" spans="1:5" x14ac:dyDescent="0.3">
      <c r="A1491" t="s">
        <v>1492</v>
      </c>
      <c r="B1491" t="s">
        <v>649</v>
      </c>
      <c r="C1491" t="s">
        <v>909</v>
      </c>
      <c r="D1491" s="1" t="str">
        <f>IFERROR(VLOOKUP(A1491,'MLR Data'!$A$2:$D$706,4,0),"")</f>
        <v/>
      </c>
      <c r="E1491" s="5" t="s">
        <v>16</v>
      </c>
    </row>
    <row r="1492" spans="1:5" x14ac:dyDescent="0.3">
      <c r="A1492" t="s">
        <v>1493</v>
      </c>
      <c r="B1492" t="s">
        <v>649</v>
      </c>
      <c r="C1492" t="s">
        <v>374</v>
      </c>
      <c r="D1492" s="1" t="str">
        <f>IFERROR(VLOOKUP(A1492,'MLR Data'!$A$2:$D$706,4,0),"")</f>
        <v/>
      </c>
    </row>
    <row r="1493" spans="1:5" x14ac:dyDescent="0.3">
      <c r="A1493" t="s">
        <v>1494</v>
      </c>
      <c r="B1493" t="s">
        <v>649</v>
      </c>
      <c r="C1493" t="s">
        <v>514</v>
      </c>
      <c r="D1493" s="1" t="str">
        <f>IFERROR(VLOOKUP(A1493,'MLR Data'!$A$2:$D$706,4,0),"")</f>
        <v/>
      </c>
    </row>
    <row r="1494" spans="1:5" x14ac:dyDescent="0.3">
      <c r="A1494" t="s">
        <v>1495</v>
      </c>
      <c r="B1494" t="s">
        <v>649</v>
      </c>
      <c r="C1494" t="s">
        <v>404</v>
      </c>
      <c r="D1494" s="1" t="str">
        <f>IFERROR(VLOOKUP(A1494,'MLR Data'!$A$2:$D$706,4,0),"")</f>
        <v/>
      </c>
    </row>
    <row r="1495" spans="1:5" x14ac:dyDescent="0.3">
      <c r="A1495" t="s">
        <v>1496</v>
      </c>
      <c r="B1495" t="s">
        <v>665</v>
      </c>
      <c r="C1495" t="s">
        <v>391</v>
      </c>
      <c r="D1495" s="1" t="str">
        <f>IFERROR(VLOOKUP(A1495,'MLR Data'!$A$2:$D$706,4,0),"")</f>
        <v/>
      </c>
    </row>
    <row r="1496" spans="1:5" x14ac:dyDescent="0.3">
      <c r="A1496" t="s">
        <v>1497</v>
      </c>
      <c r="B1496" t="s">
        <v>665</v>
      </c>
      <c r="C1496" t="s">
        <v>976</v>
      </c>
      <c r="D1496" s="1" t="str">
        <f>IFERROR(VLOOKUP(A1496,'MLR Data'!$A$2:$D$706,4,0),"")</f>
        <v/>
      </c>
    </row>
    <row r="1497" spans="1:5" x14ac:dyDescent="0.3">
      <c r="A1497" t="s">
        <v>1498</v>
      </c>
      <c r="B1497" t="s">
        <v>665</v>
      </c>
      <c r="C1497" t="s">
        <v>977</v>
      </c>
      <c r="D1497" s="1" t="str">
        <f>IFERROR(VLOOKUP(A1497,'MLR Data'!$A$2:$D$706,4,0),"")</f>
        <v/>
      </c>
    </row>
    <row r="1498" spans="1:5" x14ac:dyDescent="0.3">
      <c r="A1498" t="s">
        <v>1499</v>
      </c>
      <c r="B1498" t="s">
        <v>665</v>
      </c>
      <c r="C1498" t="s">
        <v>978</v>
      </c>
      <c r="D1498" s="1" t="str">
        <f>IFERROR(VLOOKUP(A1498,'MLR Data'!$A$2:$D$706,4,0),"")</f>
        <v/>
      </c>
    </row>
    <row r="1499" spans="1:5" x14ac:dyDescent="0.3">
      <c r="A1499" t="s">
        <v>1500</v>
      </c>
      <c r="B1499" t="s">
        <v>665</v>
      </c>
      <c r="C1499" t="s">
        <v>405</v>
      </c>
      <c r="D1499" s="1" t="str">
        <f>IFERROR(VLOOKUP(A1499,'MLR Data'!$A$2:$D$706,4,0),"")</f>
        <v/>
      </c>
    </row>
    <row r="1500" spans="1:5" x14ac:dyDescent="0.3">
      <c r="A1500" t="s">
        <v>1501</v>
      </c>
      <c r="B1500" t="s">
        <v>665</v>
      </c>
      <c r="C1500" t="s">
        <v>979</v>
      </c>
      <c r="D1500" s="1" t="str">
        <f>IFERROR(VLOOKUP(A1500,'MLR Data'!$A$2:$D$706,4,0),"")</f>
        <v/>
      </c>
    </row>
    <row r="1501" spans="1:5" x14ac:dyDescent="0.3">
      <c r="A1501" t="s">
        <v>1502</v>
      </c>
      <c r="B1501" t="s">
        <v>665</v>
      </c>
      <c r="C1501" t="s">
        <v>390</v>
      </c>
      <c r="D1501" s="1" t="str">
        <f>IFERROR(VLOOKUP(A1501,'MLR Data'!$A$2:$D$706,4,0),"")</f>
        <v/>
      </c>
    </row>
    <row r="1502" spans="1:5" x14ac:dyDescent="0.3">
      <c r="A1502" t="s">
        <v>1503</v>
      </c>
      <c r="B1502" t="s">
        <v>665</v>
      </c>
      <c r="C1502" t="s">
        <v>980</v>
      </c>
      <c r="D1502" s="1" t="str">
        <f>IFERROR(VLOOKUP(A1502,'MLR Data'!$A$2:$D$706,4,0),"")</f>
        <v/>
      </c>
      <c r="E1502" s="5" t="s">
        <v>232</v>
      </c>
    </row>
    <row r="1503" spans="1:5" x14ac:dyDescent="0.3">
      <c r="A1503" t="s">
        <v>1504</v>
      </c>
      <c r="B1503" t="s">
        <v>665</v>
      </c>
      <c r="C1503" t="s">
        <v>451</v>
      </c>
      <c r="D1503" s="1" t="str">
        <f>IFERROR(VLOOKUP(A1503,'MLR Data'!$A$2:$D$706,4,0),"")</f>
        <v/>
      </c>
      <c r="E1503" s="5" t="s">
        <v>845</v>
      </c>
    </row>
    <row r="1504" spans="1:5" x14ac:dyDescent="0.3">
      <c r="A1504" t="s">
        <v>1505</v>
      </c>
      <c r="B1504" t="s">
        <v>665</v>
      </c>
      <c r="C1504" t="s">
        <v>981</v>
      </c>
      <c r="D1504" s="1" t="str">
        <f>IFERROR(VLOOKUP(A1504,'MLR Data'!$A$2:$D$706,4,0),"")</f>
        <v/>
      </c>
    </row>
    <row r="1505" spans="1:5" x14ac:dyDescent="0.3">
      <c r="A1505" t="s">
        <v>1506</v>
      </c>
      <c r="B1505" t="s">
        <v>665</v>
      </c>
      <c r="C1505" t="s">
        <v>982</v>
      </c>
      <c r="D1505" s="1" t="str">
        <f>IFERROR(VLOOKUP(A1505,'MLR Data'!$A$2:$D$706,4,0),"")</f>
        <v/>
      </c>
      <c r="E1505" s="5" t="s">
        <v>218</v>
      </c>
    </row>
    <row r="1506" spans="1:5" x14ac:dyDescent="0.3">
      <c r="A1506" t="s">
        <v>1507</v>
      </c>
      <c r="B1506" t="s">
        <v>665</v>
      </c>
      <c r="C1506" t="s">
        <v>983</v>
      </c>
      <c r="D1506" s="1" t="str">
        <f>IFERROR(VLOOKUP(A1506,'MLR Data'!$A$2:$D$706,4,0),"")</f>
        <v/>
      </c>
    </row>
    <row r="1507" spans="1:5" x14ac:dyDescent="0.3">
      <c r="A1507" t="s">
        <v>1508</v>
      </c>
      <c r="B1507" t="s">
        <v>665</v>
      </c>
      <c r="C1507" t="s">
        <v>984</v>
      </c>
      <c r="D1507" s="1" t="str">
        <f>IFERROR(VLOOKUP(A1507,'MLR Data'!$A$2:$D$706,4,0),"")</f>
        <v/>
      </c>
    </row>
    <row r="1508" spans="1:5" x14ac:dyDescent="0.3">
      <c r="A1508" t="s">
        <v>1509</v>
      </c>
      <c r="B1508" t="s">
        <v>665</v>
      </c>
      <c r="C1508" t="s">
        <v>591</v>
      </c>
      <c r="D1508" s="1" t="str">
        <f>IFERROR(VLOOKUP(A1508,'MLR Data'!$A$2:$D$706,4,0),"")</f>
        <v/>
      </c>
    </row>
    <row r="1509" spans="1:5" x14ac:dyDescent="0.3">
      <c r="A1509" t="s">
        <v>1510</v>
      </c>
      <c r="B1509" t="s">
        <v>665</v>
      </c>
      <c r="C1509" t="s">
        <v>385</v>
      </c>
      <c r="D1509" s="1" t="str">
        <f>IFERROR(VLOOKUP(A1509,'MLR Data'!$A$2:$D$706,4,0),"")</f>
        <v/>
      </c>
    </row>
    <row r="1510" spans="1:5" x14ac:dyDescent="0.3">
      <c r="A1510" t="s">
        <v>1511</v>
      </c>
      <c r="B1510" t="s">
        <v>665</v>
      </c>
      <c r="C1510" t="s">
        <v>461</v>
      </c>
      <c r="D1510" s="1" t="str">
        <f>IFERROR(VLOOKUP(A1510,'MLR Data'!$A$2:$D$706,4,0),"")</f>
        <v/>
      </c>
      <c r="E1510" s="5" t="s">
        <v>845</v>
      </c>
    </row>
    <row r="1511" spans="1:5" x14ac:dyDescent="0.3">
      <c r="A1511" t="s">
        <v>1512</v>
      </c>
      <c r="B1511" t="s">
        <v>665</v>
      </c>
      <c r="C1511" t="s">
        <v>985</v>
      </c>
      <c r="D1511" s="1" t="str">
        <f>IFERROR(VLOOKUP(A1511,'MLR Data'!$A$2:$D$706,4,0),"")</f>
        <v/>
      </c>
    </row>
    <row r="1512" spans="1:5" x14ac:dyDescent="0.3">
      <c r="A1512" t="s">
        <v>1513</v>
      </c>
      <c r="B1512" t="s">
        <v>665</v>
      </c>
      <c r="C1512" t="s">
        <v>986</v>
      </c>
      <c r="D1512" s="1" t="str">
        <f>IFERROR(VLOOKUP(A1512,'MLR Data'!$A$2:$D$706,4,0),"")</f>
        <v/>
      </c>
    </row>
    <row r="1513" spans="1:5" x14ac:dyDescent="0.3">
      <c r="A1513" t="s">
        <v>1514</v>
      </c>
      <c r="B1513" t="s">
        <v>665</v>
      </c>
      <c r="C1513" t="s">
        <v>909</v>
      </c>
      <c r="D1513" s="1" t="str">
        <f>IFERROR(VLOOKUP(A1513,'MLR Data'!$A$2:$D$706,4,0),"")</f>
        <v/>
      </c>
      <c r="E1513" s="5" t="s">
        <v>16</v>
      </c>
    </row>
    <row r="1514" spans="1:5" x14ac:dyDescent="0.3">
      <c r="A1514" t="s">
        <v>1515</v>
      </c>
      <c r="B1514" t="s">
        <v>665</v>
      </c>
      <c r="C1514" t="s">
        <v>987</v>
      </c>
      <c r="D1514" s="1" t="str">
        <f>IFERROR(VLOOKUP(A1514,'MLR Data'!$A$2:$D$706,4,0),"")</f>
        <v/>
      </c>
      <c r="E1514" s="5" t="s">
        <v>227</v>
      </c>
    </row>
    <row r="1515" spans="1:5" x14ac:dyDescent="0.3">
      <c r="A1515" t="s">
        <v>1516</v>
      </c>
      <c r="B1515" t="s">
        <v>665</v>
      </c>
      <c r="C1515" t="s">
        <v>988</v>
      </c>
      <c r="D1515" s="1" t="str">
        <f>IFERROR(VLOOKUP(A1515,'MLR Data'!$A$2:$D$706,4,0),"")</f>
        <v/>
      </c>
    </row>
    <row r="1516" spans="1:5" x14ac:dyDescent="0.3">
      <c r="A1516" t="s">
        <v>1517</v>
      </c>
      <c r="B1516" t="s">
        <v>665</v>
      </c>
      <c r="C1516" t="s">
        <v>914</v>
      </c>
      <c r="D1516" s="1" t="str">
        <f>IFERROR(VLOOKUP(A1516,'MLR Data'!$A$2:$D$706,4,0),"")</f>
        <v/>
      </c>
    </row>
    <row r="1517" spans="1:5" x14ac:dyDescent="0.3">
      <c r="A1517" t="s">
        <v>1518</v>
      </c>
      <c r="B1517" t="s">
        <v>665</v>
      </c>
      <c r="C1517" t="s">
        <v>989</v>
      </c>
      <c r="D1517" s="1" t="str">
        <f>IFERROR(VLOOKUP(A1517,'MLR Data'!$A$2:$D$706,4,0),"")</f>
        <v/>
      </c>
    </row>
    <row r="1518" spans="1:5" x14ac:dyDescent="0.3">
      <c r="A1518" t="s">
        <v>1519</v>
      </c>
      <c r="B1518" t="s">
        <v>665</v>
      </c>
      <c r="C1518" t="s">
        <v>990</v>
      </c>
      <c r="D1518" s="1" t="str">
        <f>IFERROR(VLOOKUP(A1518,'MLR Data'!$A$2:$D$706,4,0),"")</f>
        <v/>
      </c>
    </row>
    <row r="1519" spans="1:5" x14ac:dyDescent="0.3">
      <c r="A1519" t="s">
        <v>1520</v>
      </c>
      <c r="B1519" t="s">
        <v>665</v>
      </c>
      <c r="C1519" t="s">
        <v>991</v>
      </c>
      <c r="D1519" s="1" t="str">
        <f>IFERROR(VLOOKUP(A1519,'MLR Data'!$A$2:$D$706,4,0),"")</f>
        <v/>
      </c>
    </row>
    <row r="1520" spans="1:5" x14ac:dyDescent="0.3">
      <c r="A1520" t="s">
        <v>1521</v>
      </c>
      <c r="B1520" t="s">
        <v>629</v>
      </c>
      <c r="C1520" t="s">
        <v>910</v>
      </c>
      <c r="D1520" s="1" t="str">
        <f>IFERROR(VLOOKUP(A1520,'MLR Data'!$A$2:$D$706,4,0),"")</f>
        <v/>
      </c>
    </row>
    <row r="1521" spans="1:5" x14ac:dyDescent="0.3">
      <c r="A1521" t="s">
        <v>1522</v>
      </c>
      <c r="B1521" t="s">
        <v>629</v>
      </c>
      <c r="C1521" t="s">
        <v>451</v>
      </c>
      <c r="D1521" s="1" t="str">
        <f>IFERROR(VLOOKUP(A1521,'MLR Data'!$A$2:$D$706,4,0),"")</f>
        <v/>
      </c>
    </row>
    <row r="1522" spans="1:5" x14ac:dyDescent="0.3">
      <c r="A1522" t="s">
        <v>1523</v>
      </c>
      <c r="B1522" t="s">
        <v>629</v>
      </c>
      <c r="C1522" t="s">
        <v>992</v>
      </c>
      <c r="D1522" s="1" t="str">
        <f>IFERROR(VLOOKUP(A1522,'MLR Data'!$A$2:$D$706,4,0),"")</f>
        <v/>
      </c>
    </row>
    <row r="1523" spans="1:5" x14ac:dyDescent="0.3">
      <c r="A1523" t="s">
        <v>1524</v>
      </c>
      <c r="B1523" t="s">
        <v>629</v>
      </c>
      <c r="C1523" t="s">
        <v>993</v>
      </c>
      <c r="D1523" s="1" t="str">
        <f>IFERROR(VLOOKUP(A1523,'MLR Data'!$A$2:$D$706,4,0),"")</f>
        <v/>
      </c>
    </row>
    <row r="1524" spans="1:5" x14ac:dyDescent="0.3">
      <c r="A1524" t="s">
        <v>1525</v>
      </c>
      <c r="B1524" t="s">
        <v>629</v>
      </c>
      <c r="C1524" t="s">
        <v>994</v>
      </c>
      <c r="D1524" s="1" t="str">
        <f>IFERROR(VLOOKUP(A1524,'MLR Data'!$A$2:$D$706,4,0),"")</f>
        <v/>
      </c>
    </row>
    <row r="1525" spans="1:5" x14ac:dyDescent="0.3">
      <c r="A1525" t="s">
        <v>1526</v>
      </c>
      <c r="B1525" t="s">
        <v>629</v>
      </c>
      <c r="C1525" t="s">
        <v>995</v>
      </c>
      <c r="D1525" s="1" t="str">
        <f>IFERROR(VLOOKUP(A1525,'MLR Data'!$A$2:$D$706,4,0),"")</f>
        <v/>
      </c>
    </row>
    <row r="1526" spans="1:5" x14ac:dyDescent="0.3">
      <c r="A1526" t="s">
        <v>1527</v>
      </c>
      <c r="B1526" t="s">
        <v>629</v>
      </c>
      <c r="C1526" t="s">
        <v>996</v>
      </c>
      <c r="D1526" s="1" t="str">
        <f>IFERROR(VLOOKUP(A1526,'MLR Data'!$A$2:$D$706,4,0),"")</f>
        <v/>
      </c>
    </row>
    <row r="1527" spans="1:5" x14ac:dyDescent="0.3">
      <c r="A1527" t="s">
        <v>1528</v>
      </c>
      <c r="B1527" t="s">
        <v>629</v>
      </c>
      <c r="C1527" t="s">
        <v>461</v>
      </c>
      <c r="D1527" s="1" t="str">
        <f>IFERROR(VLOOKUP(A1527,'MLR Data'!$A$2:$D$706,4,0),"")</f>
        <v/>
      </c>
    </row>
    <row r="1528" spans="1:5" x14ac:dyDescent="0.3">
      <c r="A1528" t="s">
        <v>1529</v>
      </c>
      <c r="B1528" t="s">
        <v>629</v>
      </c>
      <c r="C1528" t="s">
        <v>909</v>
      </c>
      <c r="D1528" s="1" t="str">
        <f>IFERROR(VLOOKUP(A1528,'MLR Data'!$A$2:$D$706,4,0),"")</f>
        <v/>
      </c>
      <c r="E1528" s="5" t="s">
        <v>16</v>
      </c>
    </row>
    <row r="1529" spans="1:5" x14ac:dyDescent="0.3">
      <c r="A1529" t="s">
        <v>1530</v>
      </c>
      <c r="B1529" t="s">
        <v>629</v>
      </c>
      <c r="C1529" t="s">
        <v>913</v>
      </c>
      <c r="D1529" s="1" t="str">
        <f>IFERROR(VLOOKUP(A1529,'MLR Data'!$A$2:$D$706,4,0),"")</f>
        <v/>
      </c>
      <c r="E1529" s="5" t="s">
        <v>4</v>
      </c>
    </row>
    <row r="1530" spans="1:5" x14ac:dyDescent="0.3">
      <c r="A1530" t="s">
        <v>1531</v>
      </c>
      <c r="B1530" t="s">
        <v>629</v>
      </c>
      <c r="C1530" t="s">
        <v>921</v>
      </c>
      <c r="D1530" s="1" t="str">
        <f>IFERROR(VLOOKUP(A1530,'MLR Data'!$A$2:$D$706,4,0),"")</f>
        <v/>
      </c>
      <c r="E1530" s="5" t="s">
        <v>4</v>
      </c>
    </row>
    <row r="1531" spans="1:5" x14ac:dyDescent="0.3">
      <c r="A1531" t="s">
        <v>1532</v>
      </c>
      <c r="B1531" t="s">
        <v>637</v>
      </c>
      <c r="C1531" t="s">
        <v>997</v>
      </c>
      <c r="D1531" s="1" t="str">
        <f>IFERROR(VLOOKUP(A1531,'MLR Data'!$A$2:$D$706,4,0),"")</f>
        <v/>
      </c>
    </row>
    <row r="1532" spans="1:5" x14ac:dyDescent="0.3">
      <c r="A1532" t="s">
        <v>1533</v>
      </c>
      <c r="B1532" t="s">
        <v>637</v>
      </c>
      <c r="C1532" t="s">
        <v>384</v>
      </c>
      <c r="D1532" s="1" t="str">
        <f>IFERROR(VLOOKUP(A1532,'MLR Data'!$A$2:$D$706,4,0),"")</f>
        <v/>
      </c>
    </row>
    <row r="1533" spans="1:5" x14ac:dyDescent="0.3">
      <c r="A1533" t="s">
        <v>1534</v>
      </c>
      <c r="B1533" t="s">
        <v>637</v>
      </c>
      <c r="C1533" t="s">
        <v>391</v>
      </c>
      <c r="D1533" s="1" t="str">
        <f>IFERROR(VLOOKUP(A1533,'MLR Data'!$A$2:$D$706,4,0),"")</f>
        <v/>
      </c>
    </row>
    <row r="1534" spans="1:5" x14ac:dyDescent="0.3">
      <c r="A1534" t="s">
        <v>1535</v>
      </c>
      <c r="B1534" t="s">
        <v>637</v>
      </c>
      <c r="C1534" t="s">
        <v>415</v>
      </c>
      <c r="D1534" s="1" t="str">
        <f>IFERROR(VLOOKUP(A1534,'MLR Data'!$A$2:$D$706,4,0),"")</f>
        <v/>
      </c>
    </row>
    <row r="1535" spans="1:5" x14ac:dyDescent="0.3">
      <c r="A1535" t="s">
        <v>1536</v>
      </c>
      <c r="B1535" t="s">
        <v>637</v>
      </c>
      <c r="C1535" t="s">
        <v>383</v>
      </c>
      <c r="D1535" s="1" t="str">
        <f>IFERROR(VLOOKUP(A1535,'MLR Data'!$A$2:$D$706,4,0),"")</f>
        <v/>
      </c>
    </row>
    <row r="1536" spans="1:5" x14ac:dyDescent="0.3">
      <c r="A1536" t="s">
        <v>1537</v>
      </c>
      <c r="B1536" t="s">
        <v>637</v>
      </c>
      <c r="C1536" t="s">
        <v>390</v>
      </c>
      <c r="D1536" s="1" t="str">
        <f>IFERROR(VLOOKUP(A1536,'MLR Data'!$A$2:$D$706,4,0),"")</f>
        <v/>
      </c>
    </row>
    <row r="1537" spans="1:5" x14ac:dyDescent="0.3">
      <c r="A1537" t="s">
        <v>1538</v>
      </c>
      <c r="B1537" t="s">
        <v>637</v>
      </c>
      <c r="C1537" t="s">
        <v>381</v>
      </c>
      <c r="D1537" s="1" t="str">
        <f>IFERROR(VLOOKUP(A1537,'MLR Data'!$A$2:$D$706,4,0),"")</f>
        <v/>
      </c>
    </row>
    <row r="1538" spans="1:5" x14ac:dyDescent="0.3">
      <c r="A1538" t="s">
        <v>1539</v>
      </c>
      <c r="B1538" t="s">
        <v>637</v>
      </c>
      <c r="C1538" t="s">
        <v>535</v>
      </c>
      <c r="D1538" s="1" t="str">
        <f>IFERROR(VLOOKUP(A1538,'MLR Data'!$A$2:$D$706,4,0),"")</f>
        <v/>
      </c>
    </row>
    <row r="1539" spans="1:5" x14ac:dyDescent="0.3">
      <c r="A1539" t="s">
        <v>1540</v>
      </c>
      <c r="B1539" t="s">
        <v>637</v>
      </c>
      <c r="C1539" t="s">
        <v>478</v>
      </c>
      <c r="D1539" s="1" t="str">
        <f>IFERROR(VLOOKUP(A1539,'MLR Data'!$A$2:$D$706,4,0),"")</f>
        <v/>
      </c>
      <c r="E1539" s="5" t="s">
        <v>20</v>
      </c>
    </row>
    <row r="1540" spans="1:5" x14ac:dyDescent="0.3">
      <c r="A1540" t="s">
        <v>1541</v>
      </c>
      <c r="B1540" t="s">
        <v>637</v>
      </c>
      <c r="C1540" t="s">
        <v>909</v>
      </c>
      <c r="D1540" s="1" t="str">
        <f>IFERROR(VLOOKUP(A1540,'MLR Data'!$A$2:$D$706,4,0),"")</f>
        <v/>
      </c>
    </row>
    <row r="1541" spans="1:5" x14ac:dyDescent="0.3">
      <c r="A1541" t="s">
        <v>1542</v>
      </c>
      <c r="B1541" t="s">
        <v>637</v>
      </c>
      <c r="C1541" t="s">
        <v>913</v>
      </c>
      <c r="D1541" s="1" t="str">
        <f>IFERROR(VLOOKUP(A1541,'MLR Data'!$A$2:$D$706,4,0),"")</f>
        <v/>
      </c>
      <c r="E1541" s="5" t="s">
        <v>4</v>
      </c>
    </row>
    <row r="1542" spans="1:5" x14ac:dyDescent="0.3">
      <c r="A1542" t="s">
        <v>1543</v>
      </c>
      <c r="B1542" t="s">
        <v>637</v>
      </c>
      <c r="C1542" t="s">
        <v>407</v>
      </c>
      <c r="D1542" s="1" t="str">
        <f>IFERROR(VLOOKUP(A1542,'MLR Data'!$A$2:$D$706,4,0),"")</f>
        <v/>
      </c>
      <c r="E1542" s="5" t="s">
        <v>4</v>
      </c>
    </row>
    <row r="1543" spans="1:5" x14ac:dyDescent="0.3">
      <c r="A1543" t="s">
        <v>1544</v>
      </c>
      <c r="B1543" t="s">
        <v>710</v>
      </c>
      <c r="C1543" t="s">
        <v>429</v>
      </c>
      <c r="D1543" s="1" t="str">
        <f>IFERROR(VLOOKUP(A1543,'MLR Data'!$A$2:$D$706,4,0),"")</f>
        <v/>
      </c>
      <c r="E1543" s="5" t="s">
        <v>9</v>
      </c>
    </row>
    <row r="1544" spans="1:5" x14ac:dyDescent="0.3">
      <c r="A1544" t="s">
        <v>1545</v>
      </c>
      <c r="B1544" t="s">
        <v>710</v>
      </c>
      <c r="C1544" t="s">
        <v>910</v>
      </c>
      <c r="D1544" s="1" t="str">
        <f>IFERROR(VLOOKUP(A1544,'MLR Data'!$A$2:$D$706,4,0),"")</f>
        <v/>
      </c>
    </row>
    <row r="1545" spans="1:5" x14ac:dyDescent="0.3">
      <c r="A1545" t="s">
        <v>1546</v>
      </c>
      <c r="B1545" t="s">
        <v>710</v>
      </c>
      <c r="C1545" t="s">
        <v>416</v>
      </c>
      <c r="D1545" s="1" t="str">
        <f>IFERROR(VLOOKUP(A1545,'MLR Data'!$A$2:$D$706,4,0),"")</f>
        <v/>
      </c>
    </row>
    <row r="1546" spans="1:5" x14ac:dyDescent="0.3">
      <c r="A1546" t="s">
        <v>1547</v>
      </c>
      <c r="B1546" t="s">
        <v>710</v>
      </c>
      <c r="C1546" t="s">
        <v>431</v>
      </c>
      <c r="D1546" s="1" t="str">
        <f>IFERROR(VLOOKUP(A1546,'MLR Data'!$A$2:$D$706,4,0),"")</f>
        <v/>
      </c>
    </row>
    <row r="1547" spans="1:5" x14ac:dyDescent="0.3">
      <c r="A1547" t="s">
        <v>1548</v>
      </c>
      <c r="B1547" t="s">
        <v>710</v>
      </c>
      <c r="C1547" t="s">
        <v>998</v>
      </c>
      <c r="D1547" s="1" t="str">
        <f>IFERROR(VLOOKUP(A1547,'MLR Data'!$A$2:$D$706,4,0),"")</f>
        <v/>
      </c>
    </row>
    <row r="1548" spans="1:5" x14ac:dyDescent="0.3">
      <c r="A1548" t="s">
        <v>1549</v>
      </c>
      <c r="B1548" t="s">
        <v>710</v>
      </c>
      <c r="C1548" t="s">
        <v>911</v>
      </c>
      <c r="D1548" s="1" t="str">
        <f>IFERROR(VLOOKUP(A1548,'MLR Data'!$A$2:$D$706,4,0),"")</f>
        <v/>
      </c>
    </row>
    <row r="1549" spans="1:5" x14ac:dyDescent="0.3">
      <c r="A1549" t="s">
        <v>1550</v>
      </c>
      <c r="B1549" t="s">
        <v>710</v>
      </c>
      <c r="C1549" t="s">
        <v>916</v>
      </c>
      <c r="D1549" s="1" t="str">
        <f>IFERROR(VLOOKUP(A1549,'MLR Data'!$A$2:$D$706,4,0),"")</f>
        <v/>
      </c>
    </row>
    <row r="1550" spans="1:5" x14ac:dyDescent="0.3">
      <c r="A1550" t="s">
        <v>1551</v>
      </c>
      <c r="B1550" t="s">
        <v>710</v>
      </c>
      <c r="C1550" t="s">
        <v>391</v>
      </c>
      <c r="D1550" s="1" t="str">
        <f>IFERROR(VLOOKUP(A1550,'MLR Data'!$A$2:$D$706,4,0),"")</f>
        <v/>
      </c>
    </row>
    <row r="1551" spans="1:5" x14ac:dyDescent="0.3">
      <c r="A1551" t="s">
        <v>1552</v>
      </c>
      <c r="B1551" t="s">
        <v>710</v>
      </c>
      <c r="C1551" t="s">
        <v>535</v>
      </c>
      <c r="D1551" s="1" t="str">
        <f>IFERROR(VLOOKUP(A1551,'MLR Data'!$A$2:$D$706,4,0),"")</f>
        <v/>
      </c>
    </row>
    <row r="1552" spans="1:5" x14ac:dyDescent="0.3">
      <c r="A1552" t="s">
        <v>1553</v>
      </c>
      <c r="B1552" t="s">
        <v>710</v>
      </c>
      <c r="C1552" t="s">
        <v>999</v>
      </c>
      <c r="D1552" s="1" t="str">
        <f>IFERROR(VLOOKUP(A1552,'MLR Data'!$A$2:$D$706,4,0),"")</f>
        <v/>
      </c>
    </row>
    <row r="1553" spans="1:5" x14ac:dyDescent="0.3">
      <c r="A1553" t="s">
        <v>1554</v>
      </c>
      <c r="B1553" t="s">
        <v>710</v>
      </c>
      <c r="C1553" t="s">
        <v>1000</v>
      </c>
      <c r="D1553" s="1" t="str">
        <f>IFERROR(VLOOKUP(A1553,'MLR Data'!$A$2:$D$706,4,0),"")</f>
        <v/>
      </c>
    </row>
    <row r="1554" spans="1:5" x14ac:dyDescent="0.3">
      <c r="A1554" t="s">
        <v>1555</v>
      </c>
      <c r="B1554" t="s">
        <v>710</v>
      </c>
      <c r="C1554" t="s">
        <v>1001</v>
      </c>
      <c r="D1554" s="1" t="str">
        <f>IFERROR(VLOOKUP(A1554,'MLR Data'!$A$2:$D$706,4,0),"")</f>
        <v/>
      </c>
    </row>
    <row r="1555" spans="1:5" x14ac:dyDescent="0.3">
      <c r="A1555" t="s">
        <v>1556</v>
      </c>
      <c r="B1555" t="s">
        <v>710</v>
      </c>
      <c r="C1555" t="s">
        <v>478</v>
      </c>
      <c r="D1555" s="1" t="str">
        <f>IFERROR(VLOOKUP(A1555,'MLR Data'!$A$2:$D$706,4,0),"")</f>
        <v/>
      </c>
      <c r="E1555" s="5" t="s">
        <v>20</v>
      </c>
    </row>
    <row r="1556" spans="1:5" x14ac:dyDescent="0.3">
      <c r="A1556" t="s">
        <v>1557</v>
      </c>
      <c r="B1556" t="s">
        <v>710</v>
      </c>
      <c r="C1556" t="s">
        <v>913</v>
      </c>
      <c r="D1556" s="1" t="str">
        <f>IFERROR(VLOOKUP(A1556,'MLR Data'!$A$2:$D$706,4,0),"")</f>
        <v/>
      </c>
      <c r="E1556" s="5" t="s">
        <v>4</v>
      </c>
    </row>
    <row r="1557" spans="1:5" x14ac:dyDescent="0.3">
      <c r="A1557" t="s">
        <v>1558</v>
      </c>
      <c r="B1557" t="s">
        <v>710</v>
      </c>
      <c r="C1557" t="s">
        <v>383</v>
      </c>
      <c r="D1557" s="1" t="str">
        <f>IFERROR(VLOOKUP(A1557,'MLR Data'!$A$2:$D$706,4,0),"")</f>
        <v/>
      </c>
    </row>
    <row r="1558" spans="1:5" x14ac:dyDescent="0.3">
      <c r="A1558" t="s">
        <v>1559</v>
      </c>
      <c r="B1558" t="s">
        <v>710</v>
      </c>
      <c r="C1558" t="s">
        <v>405</v>
      </c>
      <c r="D1558" s="1" t="str">
        <f>IFERROR(VLOOKUP(A1558,'MLR Data'!$A$2:$D$706,4,0),"")</f>
        <v/>
      </c>
      <c r="E1558" s="5" t="s">
        <v>20</v>
      </c>
    </row>
    <row r="1559" spans="1:5" x14ac:dyDescent="0.3">
      <c r="A1559" t="s">
        <v>1560</v>
      </c>
      <c r="B1559" t="s">
        <v>710</v>
      </c>
      <c r="C1559" t="s">
        <v>752</v>
      </c>
      <c r="D1559" s="1" t="str">
        <f>IFERROR(VLOOKUP(A1559,'MLR Data'!$A$2:$D$706,4,0),"")</f>
        <v/>
      </c>
    </row>
    <row r="1560" spans="1:5" x14ac:dyDescent="0.3">
      <c r="A1560" t="s">
        <v>1561</v>
      </c>
      <c r="B1560" t="s">
        <v>710</v>
      </c>
      <c r="C1560" t="s">
        <v>746</v>
      </c>
      <c r="D1560" s="1" t="str">
        <f>IFERROR(VLOOKUP(A1560,'MLR Data'!$A$2:$D$706,4,0),"")</f>
        <v/>
      </c>
    </row>
    <row r="1561" spans="1:5" x14ac:dyDescent="0.3">
      <c r="A1561" t="s">
        <v>1562</v>
      </c>
      <c r="B1561" t="s">
        <v>710</v>
      </c>
      <c r="C1561" t="s">
        <v>374</v>
      </c>
      <c r="D1561" s="1" t="str">
        <f>IFERROR(VLOOKUP(A1561,'MLR Data'!$A$2:$D$706,4,0),"")</f>
        <v/>
      </c>
    </row>
    <row r="1562" spans="1:5" x14ac:dyDescent="0.3">
      <c r="A1562" t="s">
        <v>1563</v>
      </c>
      <c r="B1562" t="s">
        <v>710</v>
      </c>
      <c r="C1562" t="s">
        <v>118</v>
      </c>
      <c r="D1562" s="1" t="str">
        <f>IFERROR(VLOOKUP(A1562,'MLR Data'!$A$2:$D$706,4,0),"")</f>
        <v>Anthem Insurance Companies, Inc.</v>
      </c>
      <c r="E1562" s="5" t="s">
        <v>118</v>
      </c>
    </row>
    <row r="1563" spans="1:5" x14ac:dyDescent="0.3">
      <c r="A1563" t="s">
        <v>1564</v>
      </c>
      <c r="B1563" t="s">
        <v>710</v>
      </c>
      <c r="C1563" t="s">
        <v>921</v>
      </c>
      <c r="D1563" s="1" t="str">
        <f>IFERROR(VLOOKUP(A1563,'MLR Data'!$A$2:$D$706,4,0),"")</f>
        <v/>
      </c>
      <c r="E1563" s="5" t="s">
        <v>4</v>
      </c>
    </row>
    <row r="1564" spans="1:5" x14ac:dyDescent="0.3">
      <c r="A1564" t="s">
        <v>1565</v>
      </c>
      <c r="B1564" t="s">
        <v>710</v>
      </c>
      <c r="C1564" t="s">
        <v>527</v>
      </c>
      <c r="D1564" s="1" t="str">
        <f>IFERROR(VLOOKUP(A1564,'MLR Data'!$A$2:$D$706,4,0),"")</f>
        <v/>
      </c>
      <c r="E1564" s="5" t="s">
        <v>4</v>
      </c>
    </row>
    <row r="1565" spans="1:5" x14ac:dyDescent="0.3">
      <c r="A1565" t="s">
        <v>1566</v>
      </c>
      <c r="B1565" t="s">
        <v>710</v>
      </c>
      <c r="C1565" t="s">
        <v>755</v>
      </c>
      <c r="D1565" s="1" t="str">
        <f>IFERROR(VLOOKUP(A1565,'MLR Data'!$A$2:$D$706,4,0),"")</f>
        <v/>
      </c>
    </row>
    <row r="1566" spans="1:5" x14ac:dyDescent="0.3">
      <c r="A1566" t="s">
        <v>1567</v>
      </c>
      <c r="B1566" t="s">
        <v>710</v>
      </c>
      <c r="C1566" t="s">
        <v>415</v>
      </c>
      <c r="D1566" s="1" t="str">
        <f>IFERROR(VLOOKUP(A1566,'MLR Data'!$A$2:$D$706,4,0),"")</f>
        <v/>
      </c>
      <c r="E1566" s="5" t="s">
        <v>16</v>
      </c>
    </row>
    <row r="1567" spans="1:5" x14ac:dyDescent="0.3">
      <c r="A1567" t="s">
        <v>1568</v>
      </c>
      <c r="B1567" t="s">
        <v>722</v>
      </c>
      <c r="C1567" t="s">
        <v>916</v>
      </c>
      <c r="D1567" s="1" t="str">
        <f>IFERROR(VLOOKUP(A1567,'MLR Data'!$A$2:$D$706,4,0),"")</f>
        <v/>
      </c>
    </row>
    <row r="1568" spans="1:5" x14ac:dyDescent="0.3">
      <c r="A1568" t="s">
        <v>1569</v>
      </c>
      <c r="B1568" t="s">
        <v>722</v>
      </c>
      <c r="C1568" t="s">
        <v>535</v>
      </c>
      <c r="D1568" s="1" t="str">
        <f>IFERROR(VLOOKUP(A1568,'MLR Data'!$A$2:$D$706,4,0),"")</f>
        <v/>
      </c>
    </row>
    <row r="1569" spans="1:5" x14ac:dyDescent="0.3">
      <c r="A1569" t="s">
        <v>1570</v>
      </c>
      <c r="B1569" t="s">
        <v>722</v>
      </c>
      <c r="C1569" t="s">
        <v>909</v>
      </c>
      <c r="D1569" s="1" t="str">
        <f>IFERROR(VLOOKUP(A1569,'MLR Data'!$A$2:$D$706,4,0),"")</f>
        <v/>
      </c>
      <c r="E1569" s="5" t="s">
        <v>16</v>
      </c>
    </row>
    <row r="1570" spans="1:5" x14ac:dyDescent="0.3">
      <c r="A1570" t="s">
        <v>1571</v>
      </c>
      <c r="B1570" t="s">
        <v>722</v>
      </c>
      <c r="C1570" t="s">
        <v>390</v>
      </c>
      <c r="D1570" s="1" t="str">
        <f>IFERROR(VLOOKUP(A1570,'MLR Data'!$A$2:$D$706,4,0),"")</f>
        <v/>
      </c>
    </row>
    <row r="1571" spans="1:5" x14ac:dyDescent="0.3">
      <c r="A1571" t="s">
        <v>1572</v>
      </c>
      <c r="B1571" t="s">
        <v>722</v>
      </c>
      <c r="C1571" t="s">
        <v>1002</v>
      </c>
      <c r="D1571" s="1" t="str">
        <f>IFERROR(VLOOKUP(A1571,'MLR Data'!$A$2:$D$706,4,0),"")</f>
        <v/>
      </c>
    </row>
    <row r="1572" spans="1:5" x14ac:dyDescent="0.3">
      <c r="A1572" t="s">
        <v>1573</v>
      </c>
      <c r="B1572" t="s">
        <v>722</v>
      </c>
      <c r="C1572" t="s">
        <v>911</v>
      </c>
      <c r="D1572" s="1" t="str">
        <f>IFERROR(VLOOKUP(A1572,'MLR Data'!$A$2:$D$706,4,0),"")</f>
        <v/>
      </c>
    </row>
    <row r="1573" spans="1:5" x14ac:dyDescent="0.3">
      <c r="A1573" t="s">
        <v>1574</v>
      </c>
      <c r="B1573" t="s">
        <v>722</v>
      </c>
      <c r="C1573" t="s">
        <v>431</v>
      </c>
      <c r="D1573" s="1" t="str">
        <f>IFERROR(VLOOKUP(A1573,'MLR Data'!$A$2:$D$706,4,0),"")</f>
        <v/>
      </c>
    </row>
    <row r="1574" spans="1:5" x14ac:dyDescent="0.3">
      <c r="A1574" t="s">
        <v>1575</v>
      </c>
      <c r="B1574" t="s">
        <v>722</v>
      </c>
      <c r="C1574" t="s">
        <v>416</v>
      </c>
      <c r="D1574" s="1" t="str">
        <f>IFERROR(VLOOKUP(A1574,'MLR Data'!$A$2:$D$706,4,0),"")</f>
        <v/>
      </c>
    </row>
    <row r="1575" spans="1:5" x14ac:dyDescent="0.3">
      <c r="A1575" t="s">
        <v>1576</v>
      </c>
      <c r="B1575" t="s">
        <v>722</v>
      </c>
      <c r="C1575" t="s">
        <v>381</v>
      </c>
      <c r="D1575" s="1" t="str">
        <f>IFERROR(VLOOKUP(A1575,'MLR Data'!$A$2:$D$706,4,0),"")</f>
        <v/>
      </c>
    </row>
    <row r="1576" spans="1:5" x14ac:dyDescent="0.3">
      <c r="A1576" t="s">
        <v>1577</v>
      </c>
      <c r="B1576" t="s">
        <v>722</v>
      </c>
      <c r="C1576" t="s">
        <v>1003</v>
      </c>
      <c r="D1576" s="1" t="str">
        <f>IFERROR(VLOOKUP(A1576,'MLR Data'!$A$2:$D$706,4,0),"")</f>
        <v/>
      </c>
      <c r="E1576" s="5" t="s">
        <v>252</v>
      </c>
    </row>
    <row r="1577" spans="1:5" x14ac:dyDescent="0.3">
      <c r="A1577" t="s">
        <v>1578</v>
      </c>
      <c r="B1577" t="s">
        <v>722</v>
      </c>
      <c r="C1577" t="s">
        <v>394</v>
      </c>
      <c r="D1577" s="1" t="str">
        <f>IFERROR(VLOOKUP(A1577,'MLR Data'!$A$2:$D$706,4,0),"")</f>
        <v/>
      </c>
    </row>
    <row r="1578" spans="1:5" x14ac:dyDescent="0.3">
      <c r="A1578" t="s">
        <v>1579</v>
      </c>
      <c r="B1578" t="s">
        <v>722</v>
      </c>
      <c r="C1578" t="s">
        <v>1004</v>
      </c>
      <c r="D1578" s="1" t="str">
        <f>IFERROR(VLOOKUP(A1578,'MLR Data'!$A$2:$D$706,4,0),"")</f>
        <v/>
      </c>
    </row>
    <row r="1579" spans="1:5" x14ac:dyDescent="0.3">
      <c r="A1579" t="s">
        <v>1580</v>
      </c>
      <c r="B1579" t="s">
        <v>722</v>
      </c>
      <c r="C1579" t="s">
        <v>415</v>
      </c>
      <c r="D1579" s="1" t="str">
        <f>IFERROR(VLOOKUP(A1579,'MLR Data'!$A$2:$D$706,4,0),"")</f>
        <v/>
      </c>
      <c r="E1579" s="5" t="s">
        <v>16</v>
      </c>
    </row>
    <row r="1580" spans="1:5" x14ac:dyDescent="0.3">
      <c r="A1580" t="s">
        <v>1581</v>
      </c>
      <c r="B1580" t="s">
        <v>722</v>
      </c>
      <c r="C1580" t="s">
        <v>910</v>
      </c>
      <c r="D1580" s="1" t="str">
        <f>IFERROR(VLOOKUP(A1580,'MLR Data'!$A$2:$D$706,4,0),"")</f>
        <v/>
      </c>
    </row>
    <row r="1581" spans="1:5" x14ac:dyDescent="0.3">
      <c r="A1581" t="s">
        <v>1582</v>
      </c>
      <c r="B1581" t="s">
        <v>722</v>
      </c>
      <c r="C1581" t="s">
        <v>913</v>
      </c>
      <c r="D1581" s="1" t="str">
        <f>IFERROR(VLOOKUP(A1581,'MLR Data'!$A$2:$D$706,4,0),"")</f>
        <v/>
      </c>
      <c r="E1581" s="5" t="s">
        <v>4</v>
      </c>
    </row>
    <row r="1582" spans="1:5" x14ac:dyDescent="0.3">
      <c r="A1582" t="s">
        <v>1583</v>
      </c>
      <c r="B1582" t="s">
        <v>722</v>
      </c>
      <c r="C1582" t="s">
        <v>548</v>
      </c>
      <c r="D1582" s="1" t="str">
        <f>IFERROR(VLOOKUP(A1582,'MLR Data'!$A$2:$D$706,4,0),"")</f>
        <v/>
      </c>
    </row>
    <row r="1583" spans="1:5" x14ac:dyDescent="0.3">
      <c r="A1583" t="s">
        <v>1584</v>
      </c>
      <c r="B1583" t="s">
        <v>722</v>
      </c>
      <c r="C1583" t="s">
        <v>478</v>
      </c>
      <c r="D1583" s="1" t="str">
        <f>IFERROR(VLOOKUP(A1583,'MLR Data'!$A$2:$D$706,4,0),"")</f>
        <v/>
      </c>
      <c r="E1583" s="5" t="s">
        <v>20</v>
      </c>
    </row>
    <row r="1584" spans="1:5" x14ac:dyDescent="0.3">
      <c r="A1584" t="s">
        <v>1585</v>
      </c>
      <c r="B1584" t="s">
        <v>722</v>
      </c>
      <c r="C1584" t="s">
        <v>407</v>
      </c>
      <c r="D1584" s="1" t="str">
        <f>IFERROR(VLOOKUP(A1584,'MLR Data'!$A$2:$D$706,4,0),"")</f>
        <v/>
      </c>
      <c r="E1584" s="5" t="s">
        <v>4</v>
      </c>
    </row>
    <row r="1585" spans="1:5" x14ac:dyDescent="0.3">
      <c r="A1585" t="s">
        <v>1586</v>
      </c>
      <c r="B1585" t="s">
        <v>722</v>
      </c>
      <c r="C1585" t="s">
        <v>863</v>
      </c>
      <c r="D1585" s="1" t="str">
        <f>IFERROR(VLOOKUP(A1585,'MLR Data'!$A$2:$D$706,4,0),"")</f>
        <v/>
      </c>
    </row>
    <row r="1586" spans="1:5" x14ac:dyDescent="0.3">
      <c r="A1586" t="s">
        <v>1587</v>
      </c>
      <c r="B1586" t="s">
        <v>728</v>
      </c>
      <c r="C1586" t="s">
        <v>431</v>
      </c>
      <c r="D1586" s="1" t="str">
        <f>IFERROR(VLOOKUP(A1586,'MLR Data'!$A$2:$D$706,4,0),"")</f>
        <v/>
      </c>
    </row>
    <row r="1587" spans="1:5" x14ac:dyDescent="0.3">
      <c r="A1587" t="s">
        <v>1588</v>
      </c>
      <c r="B1587" t="s">
        <v>728</v>
      </c>
      <c r="C1587" t="s">
        <v>423</v>
      </c>
      <c r="D1587" s="1" t="str">
        <f>IFERROR(VLOOKUP(A1587,'MLR Data'!$A$2:$D$706,4,0),"")</f>
        <v/>
      </c>
      <c r="E1587" s="5" t="s">
        <v>257</v>
      </c>
    </row>
    <row r="1588" spans="1:5" x14ac:dyDescent="0.3">
      <c r="A1588" t="s">
        <v>1589</v>
      </c>
      <c r="B1588" t="s">
        <v>728</v>
      </c>
      <c r="C1588" t="s">
        <v>910</v>
      </c>
      <c r="D1588" s="1" t="str">
        <f>IFERROR(VLOOKUP(A1588,'MLR Data'!$A$2:$D$706,4,0),"")</f>
        <v/>
      </c>
    </row>
    <row r="1589" spans="1:5" x14ac:dyDescent="0.3">
      <c r="A1589" t="s">
        <v>1590</v>
      </c>
      <c r="B1589" t="s">
        <v>728</v>
      </c>
      <c r="C1589" t="s">
        <v>391</v>
      </c>
      <c r="D1589" s="1" t="str">
        <f>IFERROR(VLOOKUP(A1589,'MLR Data'!$A$2:$D$706,4,0),"")</f>
        <v/>
      </c>
    </row>
    <row r="1590" spans="1:5" x14ac:dyDescent="0.3">
      <c r="A1590" t="s">
        <v>1591</v>
      </c>
      <c r="B1590" t="s">
        <v>728</v>
      </c>
      <c r="C1590" t="s">
        <v>1005</v>
      </c>
      <c r="D1590" s="1" t="str">
        <f>IFERROR(VLOOKUP(A1590,'MLR Data'!$A$2:$D$706,4,0),"")</f>
        <v/>
      </c>
      <c r="E1590" s="5" t="s">
        <v>258</v>
      </c>
    </row>
    <row r="1591" spans="1:5" x14ac:dyDescent="0.3">
      <c r="A1591" t="s">
        <v>1592</v>
      </c>
      <c r="B1591" t="s">
        <v>728</v>
      </c>
      <c r="C1591" t="s">
        <v>263</v>
      </c>
      <c r="D1591" s="1" t="str">
        <f>IFERROR(VLOOKUP(A1591,'MLR Data'!$A$2:$D$706,4,0),"")</f>
        <v>Providence Health Plan</v>
      </c>
      <c r="E1591" s="5" t="s">
        <v>263</v>
      </c>
    </row>
    <row r="1592" spans="1:5" x14ac:dyDescent="0.3">
      <c r="A1592" t="s">
        <v>1593</v>
      </c>
      <c r="B1592" t="s">
        <v>728</v>
      </c>
      <c r="C1592" t="s">
        <v>916</v>
      </c>
      <c r="D1592" s="1" t="str">
        <f>IFERROR(VLOOKUP(A1592,'MLR Data'!$A$2:$D$706,4,0),"")</f>
        <v/>
      </c>
    </row>
    <row r="1593" spans="1:5" x14ac:dyDescent="0.3">
      <c r="A1593" t="s">
        <v>1594</v>
      </c>
      <c r="B1593" t="s">
        <v>728</v>
      </c>
      <c r="C1593" t="s">
        <v>909</v>
      </c>
      <c r="D1593" s="1" t="str">
        <f>IFERROR(VLOOKUP(A1593,'MLR Data'!$A$2:$D$706,4,0),"")</f>
        <v/>
      </c>
      <c r="E1593" s="5" t="s">
        <v>16</v>
      </c>
    </row>
    <row r="1594" spans="1:5" x14ac:dyDescent="0.3">
      <c r="A1594" t="s">
        <v>1595</v>
      </c>
      <c r="B1594" t="s">
        <v>728</v>
      </c>
      <c r="C1594" t="s">
        <v>911</v>
      </c>
      <c r="D1594" s="1" t="str">
        <f>IFERROR(VLOOKUP(A1594,'MLR Data'!$A$2:$D$706,4,0),"")</f>
        <v/>
      </c>
      <c r="E1594" s="5" t="s">
        <v>31</v>
      </c>
    </row>
    <row r="1595" spans="1:5" x14ac:dyDescent="0.3">
      <c r="A1595" t="s">
        <v>1596</v>
      </c>
      <c r="B1595" t="s">
        <v>728</v>
      </c>
      <c r="C1595" t="s">
        <v>535</v>
      </c>
      <c r="D1595" s="1" t="str">
        <f>IFERROR(VLOOKUP(A1595,'MLR Data'!$A$2:$D$706,4,0),"")</f>
        <v/>
      </c>
    </row>
    <row r="1596" spans="1:5" x14ac:dyDescent="0.3">
      <c r="A1596" t="s">
        <v>1597</v>
      </c>
      <c r="B1596" t="s">
        <v>728</v>
      </c>
      <c r="C1596" t="s">
        <v>461</v>
      </c>
      <c r="D1596" s="1" t="str">
        <f>IFERROR(VLOOKUP(A1596,'MLR Data'!$A$2:$D$706,4,0),"")</f>
        <v/>
      </c>
      <c r="E1596" s="5" t="s">
        <v>256</v>
      </c>
    </row>
    <row r="1597" spans="1:5" x14ac:dyDescent="0.3">
      <c r="A1597" t="s">
        <v>1598</v>
      </c>
      <c r="B1597" t="s">
        <v>728</v>
      </c>
      <c r="C1597" t="s">
        <v>424</v>
      </c>
      <c r="D1597" s="1" t="str">
        <f>IFERROR(VLOOKUP(A1597,'MLR Data'!$A$2:$D$706,4,0),"")</f>
        <v/>
      </c>
      <c r="E1597" s="5" t="s">
        <v>257</v>
      </c>
    </row>
    <row r="1598" spans="1:5" x14ac:dyDescent="0.3">
      <c r="A1598" t="s">
        <v>1599</v>
      </c>
      <c r="B1598" t="s">
        <v>728</v>
      </c>
      <c r="C1598" t="s">
        <v>913</v>
      </c>
      <c r="D1598" s="1" t="str">
        <f>IFERROR(VLOOKUP(A1598,'MLR Data'!$A$2:$D$706,4,0),"")</f>
        <v/>
      </c>
      <c r="E1598" s="5" t="s">
        <v>4</v>
      </c>
    </row>
    <row r="1599" spans="1:5" x14ac:dyDescent="0.3">
      <c r="A1599" t="s">
        <v>1600</v>
      </c>
      <c r="B1599" t="s">
        <v>728</v>
      </c>
      <c r="C1599" t="s">
        <v>451</v>
      </c>
      <c r="D1599" s="1" t="str">
        <f>IFERROR(VLOOKUP(A1599,'MLR Data'!$A$2:$D$706,4,0),"")</f>
        <v/>
      </c>
      <c r="E1599" s="5" t="s">
        <v>256</v>
      </c>
    </row>
    <row r="1600" spans="1:5" x14ac:dyDescent="0.3">
      <c r="A1600" t="s">
        <v>1601</v>
      </c>
      <c r="B1600" t="s">
        <v>728</v>
      </c>
      <c r="C1600" t="s">
        <v>478</v>
      </c>
      <c r="D1600" s="1" t="str">
        <f>IFERROR(VLOOKUP(A1600,'MLR Data'!$A$2:$D$706,4,0),"")</f>
        <v/>
      </c>
      <c r="E1600" s="5" t="s">
        <v>20</v>
      </c>
    </row>
    <row r="1601" spans="1:5" x14ac:dyDescent="0.3">
      <c r="A1601" t="s">
        <v>1602</v>
      </c>
      <c r="B1601" t="s">
        <v>728</v>
      </c>
      <c r="C1601" t="s">
        <v>374</v>
      </c>
      <c r="D1601" s="1" t="str">
        <f>IFERROR(VLOOKUP(A1601,'MLR Data'!$A$2:$D$706,4,0),"")</f>
        <v/>
      </c>
    </row>
    <row r="1602" spans="1:5" x14ac:dyDescent="0.3">
      <c r="A1602" t="s">
        <v>1603</v>
      </c>
      <c r="B1602" t="s">
        <v>728</v>
      </c>
      <c r="C1602" t="s">
        <v>1006</v>
      </c>
      <c r="D1602" s="1" t="str">
        <f>IFERROR(VLOOKUP(A1602,'MLR Data'!$A$2:$D$706,4,0),"")</f>
        <v/>
      </c>
    </row>
    <row r="1603" spans="1:5" x14ac:dyDescent="0.3">
      <c r="A1603" t="s">
        <v>1604</v>
      </c>
      <c r="B1603" t="s">
        <v>744</v>
      </c>
      <c r="C1603" t="s">
        <v>415</v>
      </c>
      <c r="D1603" s="1" t="str">
        <f>IFERROR(VLOOKUP(A1603,'MLR Data'!$A$2:$D$706,4,0),"")</f>
        <v/>
      </c>
      <c r="E1603" s="5" t="s">
        <v>16</v>
      </c>
    </row>
    <row r="1604" spans="1:5" x14ac:dyDescent="0.3">
      <c r="A1604" t="s">
        <v>1605</v>
      </c>
      <c r="B1604" t="s">
        <v>744</v>
      </c>
      <c r="C1604" t="s">
        <v>535</v>
      </c>
      <c r="D1604" s="1" t="str">
        <f>IFERROR(VLOOKUP(A1604,'MLR Data'!$A$2:$D$706,4,0),"")</f>
        <v/>
      </c>
    </row>
    <row r="1605" spans="1:5" x14ac:dyDescent="0.3">
      <c r="A1605" t="s">
        <v>1606</v>
      </c>
      <c r="B1605" t="s">
        <v>744</v>
      </c>
      <c r="C1605" t="s">
        <v>391</v>
      </c>
      <c r="D1605" s="1" t="str">
        <f>IFERROR(VLOOKUP(A1605,'MLR Data'!$A$2:$D$706,4,0),"")</f>
        <v/>
      </c>
    </row>
    <row r="1606" spans="1:5" x14ac:dyDescent="0.3">
      <c r="A1606" t="s">
        <v>1607</v>
      </c>
      <c r="B1606" t="s">
        <v>744</v>
      </c>
      <c r="C1606" t="s">
        <v>909</v>
      </c>
      <c r="D1606" s="1" t="str">
        <f>IFERROR(VLOOKUP(A1606,'MLR Data'!$A$2:$D$706,4,0),"")</f>
        <v/>
      </c>
      <c r="E1606" s="5" t="s">
        <v>16</v>
      </c>
    </row>
    <row r="1607" spans="1:5" x14ac:dyDescent="0.3">
      <c r="A1607" t="s">
        <v>1608</v>
      </c>
      <c r="B1607" t="s">
        <v>744</v>
      </c>
      <c r="C1607" t="s">
        <v>390</v>
      </c>
      <c r="D1607" s="1" t="str">
        <f>IFERROR(VLOOKUP(A1607,'MLR Data'!$A$2:$D$706,4,0),"")</f>
        <v/>
      </c>
    </row>
    <row r="1608" spans="1:5" x14ac:dyDescent="0.3">
      <c r="A1608" t="s">
        <v>1609</v>
      </c>
      <c r="B1608" t="s">
        <v>744</v>
      </c>
      <c r="C1608" t="s">
        <v>381</v>
      </c>
      <c r="D1608" s="1" t="str">
        <f>IFERROR(VLOOKUP(A1608,'MLR Data'!$A$2:$D$706,4,0),"")</f>
        <v/>
      </c>
    </row>
    <row r="1609" spans="1:5" x14ac:dyDescent="0.3">
      <c r="A1609" t="s">
        <v>1610</v>
      </c>
      <c r="B1609" t="s">
        <v>744</v>
      </c>
      <c r="C1609" t="s">
        <v>983</v>
      </c>
      <c r="D1609" s="1" t="str">
        <f>IFERROR(VLOOKUP(A1609,'MLR Data'!$A$2:$D$706,4,0),"")</f>
        <v/>
      </c>
    </row>
    <row r="1610" spans="1:5" x14ac:dyDescent="0.3">
      <c r="A1610" t="s">
        <v>1611</v>
      </c>
      <c r="B1610" t="s">
        <v>744</v>
      </c>
      <c r="C1610" t="s">
        <v>911</v>
      </c>
      <c r="D1610" s="1" t="str">
        <f>IFERROR(VLOOKUP(A1610,'MLR Data'!$A$2:$D$706,4,0),"")</f>
        <v/>
      </c>
    </row>
    <row r="1611" spans="1:5" x14ac:dyDescent="0.3">
      <c r="A1611" t="s">
        <v>1612</v>
      </c>
      <c r="B1611" t="s">
        <v>744</v>
      </c>
      <c r="C1611" t="s">
        <v>916</v>
      </c>
      <c r="D1611" s="1" t="str">
        <f>IFERROR(VLOOKUP(A1611,'MLR Data'!$A$2:$D$706,4,0),"")</f>
        <v/>
      </c>
    </row>
    <row r="1612" spans="1:5" x14ac:dyDescent="0.3">
      <c r="A1612" t="s">
        <v>1613</v>
      </c>
      <c r="B1612" t="s">
        <v>744</v>
      </c>
      <c r="C1612" t="s">
        <v>998</v>
      </c>
      <c r="D1612" s="1" t="str">
        <f>IFERROR(VLOOKUP(A1612,'MLR Data'!$A$2:$D$706,4,0),"")</f>
        <v/>
      </c>
    </row>
    <row r="1613" spans="1:5" x14ac:dyDescent="0.3">
      <c r="A1613" t="s">
        <v>1614</v>
      </c>
      <c r="B1613" t="s">
        <v>744</v>
      </c>
      <c r="C1613" t="s">
        <v>910</v>
      </c>
      <c r="D1613" s="1" t="str">
        <f>IFERROR(VLOOKUP(A1613,'MLR Data'!$A$2:$D$706,4,0),"")</f>
        <v/>
      </c>
    </row>
    <row r="1614" spans="1:5" x14ac:dyDescent="0.3">
      <c r="A1614" t="s">
        <v>1615</v>
      </c>
      <c r="B1614" t="s">
        <v>744</v>
      </c>
      <c r="C1614" t="s">
        <v>1007</v>
      </c>
      <c r="D1614" s="1" t="str">
        <f>IFERROR(VLOOKUP(A1614,'MLR Data'!$A$2:$D$706,4,0),"")</f>
        <v/>
      </c>
    </row>
    <row r="1615" spans="1:5" x14ac:dyDescent="0.3">
      <c r="A1615" t="s">
        <v>1616</v>
      </c>
      <c r="B1615" t="s">
        <v>744</v>
      </c>
      <c r="C1615" t="s">
        <v>913</v>
      </c>
      <c r="D1615" s="1" t="str">
        <f>IFERROR(VLOOKUP(A1615,'MLR Data'!$A$2:$D$706,4,0),"")</f>
        <v/>
      </c>
      <c r="E1615" s="5" t="s">
        <v>4</v>
      </c>
    </row>
    <row r="1616" spans="1:5" x14ac:dyDescent="0.3">
      <c r="A1616" t="s">
        <v>1617</v>
      </c>
      <c r="B1616" t="s">
        <v>744</v>
      </c>
      <c r="C1616" t="s">
        <v>1008</v>
      </c>
      <c r="D1616" s="1" t="str">
        <f>IFERROR(VLOOKUP(A1616,'MLR Data'!$A$2:$D$706,4,0),"")</f>
        <v/>
      </c>
      <c r="E1616" s="5" t="s">
        <v>4</v>
      </c>
    </row>
    <row r="1617" spans="1:5" x14ac:dyDescent="0.3">
      <c r="A1617" t="s">
        <v>1618</v>
      </c>
      <c r="B1617" t="s">
        <v>744</v>
      </c>
      <c r="C1617" t="s">
        <v>478</v>
      </c>
      <c r="D1617" s="1" t="str">
        <f>IFERROR(VLOOKUP(A1617,'MLR Data'!$A$2:$D$706,4,0),"")</f>
        <v/>
      </c>
      <c r="E1617" s="5" t="s">
        <v>20</v>
      </c>
    </row>
    <row r="1618" spans="1:5" x14ac:dyDescent="0.3">
      <c r="A1618" t="s">
        <v>1619</v>
      </c>
      <c r="B1618" t="s">
        <v>744</v>
      </c>
      <c r="C1618" t="s">
        <v>921</v>
      </c>
      <c r="D1618" s="1" t="str">
        <f>IFERROR(VLOOKUP(A1618,'MLR Data'!$A$2:$D$706,4,0),"")</f>
        <v/>
      </c>
      <c r="E1618" s="5" t="s">
        <v>4</v>
      </c>
    </row>
    <row r="1619" spans="1:5" x14ac:dyDescent="0.3">
      <c r="A1619" t="s">
        <v>1620</v>
      </c>
      <c r="B1619" t="s">
        <v>772</v>
      </c>
      <c r="C1619" t="s">
        <v>407</v>
      </c>
      <c r="D1619" s="1" t="str">
        <f>IFERROR(VLOOKUP(A1619,'MLR Data'!$A$2:$D$706,4,0),"")</f>
        <v/>
      </c>
      <c r="E1619" s="5" t="s">
        <v>4</v>
      </c>
    </row>
    <row r="1620" spans="1:5" x14ac:dyDescent="0.3">
      <c r="A1620" t="s">
        <v>1621</v>
      </c>
      <c r="B1620" t="s">
        <v>772</v>
      </c>
      <c r="C1620" t="s">
        <v>390</v>
      </c>
      <c r="D1620" s="1" t="str">
        <f>IFERROR(VLOOKUP(A1620,'MLR Data'!$A$2:$D$706,4,0),"")</f>
        <v/>
      </c>
    </row>
    <row r="1621" spans="1:5" x14ac:dyDescent="0.3">
      <c r="A1621" t="s">
        <v>1622</v>
      </c>
      <c r="B1621" t="s">
        <v>772</v>
      </c>
      <c r="C1621" t="s">
        <v>368</v>
      </c>
      <c r="D1621" s="1" t="str">
        <f>IFERROR(VLOOKUP(A1621,'MLR Data'!$A$2:$D$706,4,0),"")</f>
        <v/>
      </c>
      <c r="E1621" s="5" t="s">
        <v>20</v>
      </c>
    </row>
    <row r="1622" spans="1:5" x14ac:dyDescent="0.3">
      <c r="A1622" t="s">
        <v>1623</v>
      </c>
      <c r="B1622" t="s">
        <v>772</v>
      </c>
      <c r="C1622" t="s">
        <v>372</v>
      </c>
      <c r="D1622" s="1" t="str">
        <f>IFERROR(VLOOKUP(A1622,'MLR Data'!$A$2:$D$706,4,0),"")</f>
        <v/>
      </c>
      <c r="E1622" s="5" t="s">
        <v>15</v>
      </c>
    </row>
    <row r="1623" spans="1:5" x14ac:dyDescent="0.3">
      <c r="A1623" t="s">
        <v>1624</v>
      </c>
      <c r="B1623" t="s">
        <v>772</v>
      </c>
      <c r="C1623" t="s">
        <v>415</v>
      </c>
      <c r="D1623" s="1" t="str">
        <f>IFERROR(VLOOKUP(A1623,'MLR Data'!$A$2:$D$706,4,0),"")</f>
        <v/>
      </c>
    </row>
    <row r="1624" spans="1:5" x14ac:dyDescent="0.3">
      <c r="A1624" t="s">
        <v>1625</v>
      </c>
      <c r="B1624" t="s">
        <v>772</v>
      </c>
      <c r="C1624" t="s">
        <v>478</v>
      </c>
      <c r="D1624" s="1" t="str">
        <f>IFERROR(VLOOKUP(A1624,'MLR Data'!$A$2:$D$706,4,0),"")</f>
        <v/>
      </c>
      <c r="E1624" s="5" t="s">
        <v>20</v>
      </c>
    </row>
    <row r="1625" spans="1:5" x14ac:dyDescent="0.3">
      <c r="A1625" t="s">
        <v>1626</v>
      </c>
      <c r="B1625" t="s">
        <v>772</v>
      </c>
      <c r="C1625" t="s">
        <v>909</v>
      </c>
      <c r="D1625" s="1" t="str">
        <f>IFERROR(VLOOKUP(A1625,'MLR Data'!$A$2:$D$706,4,0),"")</f>
        <v/>
      </c>
    </row>
    <row r="1626" spans="1:5" x14ac:dyDescent="0.3">
      <c r="A1626" t="s">
        <v>1627</v>
      </c>
      <c r="B1626" t="s">
        <v>772</v>
      </c>
      <c r="C1626" t="s">
        <v>913</v>
      </c>
      <c r="D1626" s="1" t="str">
        <f>IFERROR(VLOOKUP(A1626,'MLR Data'!$A$2:$D$706,4,0),"")</f>
        <v/>
      </c>
      <c r="E1626" s="5" t="s">
        <v>4</v>
      </c>
    </row>
    <row r="1627" spans="1:5" x14ac:dyDescent="0.3">
      <c r="A1627" t="s">
        <v>1628</v>
      </c>
      <c r="B1627" t="s">
        <v>772</v>
      </c>
      <c r="C1627" t="s">
        <v>384</v>
      </c>
      <c r="D1627" s="1" t="str">
        <f>IFERROR(VLOOKUP(A1627,'MLR Data'!$A$2:$D$706,4,0),"")</f>
        <v/>
      </c>
    </row>
    <row r="1628" spans="1:5" x14ac:dyDescent="0.3">
      <c r="A1628" t="s">
        <v>1629</v>
      </c>
      <c r="B1628" t="s">
        <v>772</v>
      </c>
      <c r="C1628" t="s">
        <v>914</v>
      </c>
      <c r="D1628" s="1" t="str">
        <f>IFERROR(VLOOKUP(A1628,'MLR Data'!$A$2:$D$706,4,0),"")</f>
        <v/>
      </c>
    </row>
    <row r="1629" spans="1:5" x14ac:dyDescent="0.3">
      <c r="A1629" t="s">
        <v>1630</v>
      </c>
      <c r="B1629" t="s">
        <v>775</v>
      </c>
      <c r="C1629" t="s">
        <v>1009</v>
      </c>
      <c r="D1629" s="1" t="str">
        <f>IFERROR(VLOOKUP(A1629,'MLR Data'!$A$2:$D$706,4,0),"")</f>
        <v/>
      </c>
    </row>
    <row r="1630" spans="1:5" x14ac:dyDescent="0.3">
      <c r="A1630" t="s">
        <v>1631</v>
      </c>
      <c r="B1630" t="s">
        <v>775</v>
      </c>
      <c r="C1630" t="s">
        <v>385</v>
      </c>
      <c r="D1630" s="1" t="str">
        <f>IFERROR(VLOOKUP(A1630,'MLR Data'!$A$2:$D$706,4,0),"")</f>
        <v/>
      </c>
    </row>
    <row r="1631" spans="1:5" x14ac:dyDescent="0.3">
      <c r="A1631" t="s">
        <v>1632</v>
      </c>
      <c r="B1631" t="s">
        <v>775</v>
      </c>
      <c r="C1631" t="s">
        <v>910</v>
      </c>
      <c r="D1631" s="1" t="str">
        <f>IFERROR(VLOOKUP(A1631,'MLR Data'!$A$2:$D$706,4,0),"")</f>
        <v/>
      </c>
    </row>
    <row r="1632" spans="1:5" x14ac:dyDescent="0.3">
      <c r="A1632" t="s">
        <v>1633</v>
      </c>
      <c r="B1632" t="s">
        <v>775</v>
      </c>
      <c r="C1632" t="s">
        <v>1010</v>
      </c>
      <c r="D1632" s="1" t="str">
        <f>IFERROR(VLOOKUP(A1632,'MLR Data'!$A$2:$D$706,4,0),"")</f>
        <v/>
      </c>
    </row>
    <row r="1633" spans="1:5" x14ac:dyDescent="0.3">
      <c r="A1633" t="s">
        <v>1634</v>
      </c>
      <c r="B1633" t="s">
        <v>775</v>
      </c>
      <c r="C1633" t="s">
        <v>911</v>
      </c>
      <c r="D1633" s="1" t="str">
        <f>IFERROR(VLOOKUP(A1633,'MLR Data'!$A$2:$D$706,4,0),"")</f>
        <v/>
      </c>
    </row>
    <row r="1634" spans="1:5" x14ac:dyDescent="0.3">
      <c r="A1634" t="s">
        <v>1635</v>
      </c>
      <c r="B1634" t="s">
        <v>775</v>
      </c>
      <c r="C1634" t="s">
        <v>535</v>
      </c>
      <c r="D1634" s="1" t="str">
        <f>IFERROR(VLOOKUP(A1634,'MLR Data'!$A$2:$D$706,4,0),"")</f>
        <v/>
      </c>
    </row>
    <row r="1635" spans="1:5" x14ac:dyDescent="0.3">
      <c r="A1635" t="s">
        <v>1636</v>
      </c>
      <c r="B1635" t="s">
        <v>775</v>
      </c>
      <c r="C1635" t="s">
        <v>431</v>
      </c>
      <c r="D1635" s="1" t="str">
        <f>IFERROR(VLOOKUP(A1635,'MLR Data'!$A$2:$D$706,4,0),"")</f>
        <v/>
      </c>
    </row>
    <row r="1636" spans="1:5" x14ac:dyDescent="0.3">
      <c r="A1636" t="s">
        <v>1637</v>
      </c>
      <c r="B1636" t="s">
        <v>775</v>
      </c>
      <c r="C1636" t="s">
        <v>909</v>
      </c>
      <c r="D1636" s="1" t="str">
        <f>IFERROR(VLOOKUP(A1636,'MLR Data'!$A$2:$D$706,4,0),"")</f>
        <v/>
      </c>
      <c r="E1636" s="5" t="s">
        <v>16</v>
      </c>
    </row>
    <row r="1637" spans="1:5" x14ac:dyDescent="0.3">
      <c r="A1637" t="s">
        <v>1638</v>
      </c>
      <c r="B1637" t="s">
        <v>775</v>
      </c>
      <c r="C1637" t="s">
        <v>383</v>
      </c>
      <c r="D1637" s="1" t="str">
        <f>IFERROR(VLOOKUP(A1637,'MLR Data'!$A$2:$D$706,4,0),"")</f>
        <v/>
      </c>
    </row>
    <row r="1638" spans="1:5" x14ac:dyDescent="0.3">
      <c r="A1638" t="s">
        <v>1639</v>
      </c>
      <c r="B1638" t="s">
        <v>775</v>
      </c>
      <c r="C1638" t="s">
        <v>1011</v>
      </c>
      <c r="D1638" s="1" t="str">
        <f>IFERROR(VLOOKUP(A1638,'MLR Data'!$A$2:$D$706,4,0),"")</f>
        <v/>
      </c>
      <c r="E1638" s="5" t="s">
        <v>298</v>
      </c>
    </row>
    <row r="1639" spans="1:5" x14ac:dyDescent="0.3">
      <c r="A1639" t="s">
        <v>1640</v>
      </c>
      <c r="B1639" t="s">
        <v>775</v>
      </c>
      <c r="C1639" t="s">
        <v>407</v>
      </c>
      <c r="D1639" s="1" t="str">
        <f>IFERROR(VLOOKUP(A1639,'MLR Data'!$A$2:$D$706,4,0),"")</f>
        <v/>
      </c>
      <c r="E1639" s="5" t="s">
        <v>4</v>
      </c>
    </row>
    <row r="1640" spans="1:5" x14ac:dyDescent="0.3">
      <c r="A1640" t="s">
        <v>1641</v>
      </c>
      <c r="B1640" t="s">
        <v>775</v>
      </c>
      <c r="C1640" t="s">
        <v>478</v>
      </c>
      <c r="D1640" s="1" t="str">
        <f>IFERROR(VLOOKUP(A1640,'MLR Data'!$A$2:$D$706,4,0),"")</f>
        <v/>
      </c>
      <c r="E1640" s="5" t="s">
        <v>20</v>
      </c>
    </row>
    <row r="1641" spans="1:5" x14ac:dyDescent="0.3">
      <c r="A1641" t="s">
        <v>1642</v>
      </c>
      <c r="B1641" t="s">
        <v>775</v>
      </c>
      <c r="C1641" t="s">
        <v>913</v>
      </c>
      <c r="D1641" s="1" t="str">
        <f>IFERROR(VLOOKUP(A1641,'MLR Data'!$A$2:$D$706,4,0),"")</f>
        <v/>
      </c>
      <c r="E1641" s="5" t="s">
        <v>4</v>
      </c>
    </row>
    <row r="1642" spans="1:5" x14ac:dyDescent="0.3">
      <c r="A1642" t="s">
        <v>1643</v>
      </c>
      <c r="B1642" t="s">
        <v>775</v>
      </c>
      <c r="C1642" t="s">
        <v>912</v>
      </c>
      <c r="D1642" s="1" t="str">
        <f>IFERROR(VLOOKUP(A1642,'MLR Data'!$A$2:$D$706,4,0),"")</f>
        <v/>
      </c>
      <c r="E1642" s="5" t="s">
        <v>13</v>
      </c>
    </row>
    <row r="1643" spans="1:5" x14ac:dyDescent="0.3">
      <c r="A1643" t="s">
        <v>1644</v>
      </c>
      <c r="B1643" t="s">
        <v>775</v>
      </c>
      <c r="C1643" t="s">
        <v>921</v>
      </c>
      <c r="D1643" s="1" t="str">
        <f>IFERROR(VLOOKUP(A1643,'MLR Data'!$A$2:$D$706,4,0),"")</f>
        <v/>
      </c>
      <c r="E1643" s="5" t="s">
        <v>4</v>
      </c>
    </row>
    <row r="1644" spans="1:5" x14ac:dyDescent="0.3">
      <c r="A1644" t="s">
        <v>1645</v>
      </c>
      <c r="B1644" t="s">
        <v>783</v>
      </c>
      <c r="C1644" t="s">
        <v>184</v>
      </c>
      <c r="D1644" s="1" t="str">
        <f>IFERROR(VLOOKUP(A1644,'MLR Data'!$A$2:$D$706,4,0),"")</f>
        <v>Medica Insurance Company</v>
      </c>
      <c r="E1644" s="5" t="s">
        <v>184</v>
      </c>
    </row>
    <row r="1645" spans="1:5" x14ac:dyDescent="0.3">
      <c r="A1645" t="s">
        <v>1646</v>
      </c>
      <c r="B1645" t="s">
        <v>783</v>
      </c>
      <c r="C1645" t="s">
        <v>415</v>
      </c>
      <c r="D1645" s="1" t="str">
        <f>IFERROR(VLOOKUP(A1645,'MLR Data'!$A$2:$D$706,4,0),"")</f>
        <v/>
      </c>
      <c r="E1645" s="5" t="s">
        <v>16</v>
      </c>
    </row>
    <row r="1646" spans="1:5" x14ac:dyDescent="0.3">
      <c r="A1646" t="s">
        <v>1647</v>
      </c>
      <c r="B1646" t="s">
        <v>783</v>
      </c>
      <c r="C1646" t="s">
        <v>1012</v>
      </c>
      <c r="D1646" s="1" t="str">
        <f>IFERROR(VLOOKUP(A1646,'MLR Data'!$A$2:$D$706,4,0),"")</f>
        <v/>
      </c>
      <c r="E1646" s="5" t="s">
        <v>303</v>
      </c>
    </row>
    <row r="1647" spans="1:5" x14ac:dyDescent="0.3">
      <c r="A1647" t="s">
        <v>1648</v>
      </c>
      <c r="B1647" t="s">
        <v>783</v>
      </c>
      <c r="C1647" t="s">
        <v>916</v>
      </c>
      <c r="D1647" s="1" t="str">
        <f>IFERROR(VLOOKUP(A1647,'MLR Data'!$A$2:$D$706,4,0),"")</f>
        <v/>
      </c>
    </row>
    <row r="1648" spans="1:5" x14ac:dyDescent="0.3">
      <c r="A1648" t="s">
        <v>1649</v>
      </c>
      <c r="B1648" t="s">
        <v>783</v>
      </c>
      <c r="C1648" t="s">
        <v>391</v>
      </c>
      <c r="D1648" s="1" t="str">
        <f>IFERROR(VLOOKUP(A1648,'MLR Data'!$A$2:$D$706,4,0),"")</f>
        <v/>
      </c>
    </row>
    <row r="1649" spans="1:5" x14ac:dyDescent="0.3">
      <c r="A1649" t="s">
        <v>1650</v>
      </c>
      <c r="B1649" t="s">
        <v>783</v>
      </c>
      <c r="C1649" t="s">
        <v>381</v>
      </c>
      <c r="D1649" s="1" t="str">
        <f>IFERROR(VLOOKUP(A1649,'MLR Data'!$A$2:$D$706,4,0),"")</f>
        <v/>
      </c>
    </row>
    <row r="1650" spans="1:5" x14ac:dyDescent="0.3">
      <c r="A1650" t="s">
        <v>1651</v>
      </c>
      <c r="B1650" t="s">
        <v>783</v>
      </c>
      <c r="C1650" t="s">
        <v>384</v>
      </c>
      <c r="D1650" s="1" t="str">
        <f>IFERROR(VLOOKUP(A1650,'MLR Data'!$A$2:$D$706,4,0),"")</f>
        <v/>
      </c>
    </row>
    <row r="1651" spans="1:5" x14ac:dyDescent="0.3">
      <c r="A1651" t="s">
        <v>1652</v>
      </c>
      <c r="B1651" t="s">
        <v>783</v>
      </c>
      <c r="C1651" t="s">
        <v>909</v>
      </c>
      <c r="D1651" s="1" t="str">
        <f>IFERROR(VLOOKUP(A1651,'MLR Data'!$A$2:$D$706,4,0),"")</f>
        <v/>
      </c>
      <c r="E1651" s="5" t="s">
        <v>16</v>
      </c>
    </row>
    <row r="1652" spans="1:5" x14ac:dyDescent="0.3">
      <c r="A1652" t="s">
        <v>1653</v>
      </c>
      <c r="B1652" t="s">
        <v>783</v>
      </c>
      <c r="C1652" t="s">
        <v>374</v>
      </c>
      <c r="D1652" s="1" t="str">
        <f>IFERROR(VLOOKUP(A1652,'MLR Data'!$A$2:$D$706,4,0),"")</f>
        <v/>
      </c>
    </row>
    <row r="1653" spans="1:5" x14ac:dyDescent="0.3">
      <c r="A1653" t="s">
        <v>1654</v>
      </c>
      <c r="B1653" t="s">
        <v>783</v>
      </c>
      <c r="C1653" t="s">
        <v>431</v>
      </c>
      <c r="D1653" s="1" t="str">
        <f>IFERROR(VLOOKUP(A1653,'MLR Data'!$A$2:$D$706,4,0),"")</f>
        <v/>
      </c>
    </row>
    <row r="1654" spans="1:5" x14ac:dyDescent="0.3">
      <c r="A1654" t="s">
        <v>1655</v>
      </c>
      <c r="B1654" t="s">
        <v>783</v>
      </c>
      <c r="C1654" t="s">
        <v>182</v>
      </c>
      <c r="D1654" s="1" t="str">
        <f>IFERROR(VLOOKUP(A1654,'MLR Data'!$A$2:$D$706,4,0),"")</f>
        <v/>
      </c>
      <c r="E1654" s="5" t="s">
        <v>184</v>
      </c>
    </row>
    <row r="1655" spans="1:5" x14ac:dyDescent="0.3">
      <c r="A1655" t="s">
        <v>1656</v>
      </c>
      <c r="B1655" t="s">
        <v>783</v>
      </c>
      <c r="C1655" t="s">
        <v>535</v>
      </c>
      <c r="D1655" s="1" t="str">
        <f>IFERROR(VLOOKUP(A1655,'MLR Data'!$A$2:$D$706,4,0),"")</f>
        <v/>
      </c>
    </row>
    <row r="1656" spans="1:5" x14ac:dyDescent="0.3">
      <c r="A1656" t="s">
        <v>1657</v>
      </c>
      <c r="B1656" t="s">
        <v>783</v>
      </c>
      <c r="C1656" t="s">
        <v>380</v>
      </c>
      <c r="D1656" s="1" t="str">
        <f>IFERROR(VLOOKUP(A1656,'MLR Data'!$A$2:$D$706,4,0),"")</f>
        <v/>
      </c>
      <c r="E1656" s="5" t="s">
        <v>35</v>
      </c>
    </row>
    <row r="1657" spans="1:5" x14ac:dyDescent="0.3">
      <c r="A1657" t="s">
        <v>1658</v>
      </c>
      <c r="B1657" t="s">
        <v>783</v>
      </c>
      <c r="C1657" t="s">
        <v>913</v>
      </c>
      <c r="D1657" s="1" t="str">
        <f>IFERROR(VLOOKUP(A1657,'MLR Data'!$A$2:$D$706,4,0),"")</f>
        <v/>
      </c>
      <c r="E1657" s="5" t="s">
        <v>4</v>
      </c>
    </row>
    <row r="1658" spans="1:5" x14ac:dyDescent="0.3">
      <c r="A1658" t="s">
        <v>1659</v>
      </c>
      <c r="B1658" t="s">
        <v>783</v>
      </c>
      <c r="C1658" t="s">
        <v>478</v>
      </c>
      <c r="D1658" s="1" t="str">
        <f>IFERROR(VLOOKUP(A1658,'MLR Data'!$A$2:$D$706,4,0),"")</f>
        <v/>
      </c>
      <c r="E1658" s="5" t="s">
        <v>20</v>
      </c>
    </row>
    <row r="1659" spans="1:5" x14ac:dyDescent="0.3">
      <c r="A1659" t="s">
        <v>1660</v>
      </c>
      <c r="B1659" t="s">
        <v>783</v>
      </c>
      <c r="C1659" t="s">
        <v>407</v>
      </c>
      <c r="D1659" s="1" t="str">
        <f>IFERROR(VLOOKUP(A1659,'MLR Data'!$A$2:$D$706,4,0),"")</f>
        <v/>
      </c>
      <c r="E1659" s="5" t="s">
        <v>4</v>
      </c>
    </row>
    <row r="1660" spans="1:5" x14ac:dyDescent="0.3">
      <c r="A1660" t="s">
        <v>1661</v>
      </c>
      <c r="B1660" t="s">
        <v>784</v>
      </c>
      <c r="C1660" t="s">
        <v>429</v>
      </c>
      <c r="D1660" s="1" t="str">
        <f>IFERROR(VLOOKUP(A1660,'MLR Data'!$A$2:$D$706,4,0),"")</f>
        <v/>
      </c>
      <c r="E1660" s="5" t="s">
        <v>9</v>
      </c>
    </row>
    <row r="1661" spans="1:5" x14ac:dyDescent="0.3">
      <c r="A1661" t="s">
        <v>1662</v>
      </c>
      <c r="B1661" t="s">
        <v>784</v>
      </c>
      <c r="C1661" t="s">
        <v>391</v>
      </c>
      <c r="D1661" s="1" t="str">
        <f>IFERROR(VLOOKUP(A1661,'MLR Data'!$A$2:$D$706,4,0),"")</f>
        <v/>
      </c>
    </row>
    <row r="1662" spans="1:5" x14ac:dyDescent="0.3">
      <c r="A1662" t="s">
        <v>1663</v>
      </c>
      <c r="B1662" t="s">
        <v>784</v>
      </c>
      <c r="C1662" t="s">
        <v>431</v>
      </c>
      <c r="D1662" s="1" t="str">
        <f>IFERROR(VLOOKUP(A1662,'MLR Data'!$A$2:$D$706,4,0),"")</f>
        <v/>
      </c>
    </row>
    <row r="1663" spans="1:5" x14ac:dyDescent="0.3">
      <c r="A1663" t="s">
        <v>1664</v>
      </c>
      <c r="B1663" t="s">
        <v>784</v>
      </c>
      <c r="C1663" t="s">
        <v>535</v>
      </c>
      <c r="D1663" s="1" t="str">
        <f>IFERROR(VLOOKUP(A1663,'MLR Data'!$A$2:$D$706,4,0),"")</f>
        <v/>
      </c>
    </row>
    <row r="1664" spans="1:5" x14ac:dyDescent="0.3">
      <c r="A1664" t="s">
        <v>1665</v>
      </c>
      <c r="B1664" t="s">
        <v>784</v>
      </c>
      <c r="C1664" t="s">
        <v>909</v>
      </c>
      <c r="D1664" s="1" t="str">
        <f>IFERROR(VLOOKUP(A1664,'MLR Data'!$A$2:$D$706,4,0),"")</f>
        <v/>
      </c>
      <c r="E1664" s="5" t="s">
        <v>16</v>
      </c>
    </row>
    <row r="1665" spans="1:5" x14ac:dyDescent="0.3">
      <c r="A1665" t="s">
        <v>1666</v>
      </c>
      <c r="B1665" t="s">
        <v>784</v>
      </c>
      <c r="C1665" t="s">
        <v>381</v>
      </c>
      <c r="D1665" s="1" t="str">
        <f>IFERROR(VLOOKUP(A1665,'MLR Data'!$A$2:$D$706,4,0),"")</f>
        <v/>
      </c>
    </row>
    <row r="1666" spans="1:5" x14ac:dyDescent="0.3">
      <c r="A1666" t="s">
        <v>1667</v>
      </c>
      <c r="B1666" t="s">
        <v>784</v>
      </c>
      <c r="C1666" t="s">
        <v>416</v>
      </c>
      <c r="D1666" s="1" t="str">
        <f>IFERROR(VLOOKUP(A1666,'MLR Data'!$A$2:$D$706,4,0),"")</f>
        <v/>
      </c>
    </row>
    <row r="1667" spans="1:5" x14ac:dyDescent="0.3">
      <c r="A1667" t="s">
        <v>1668</v>
      </c>
      <c r="B1667" t="s">
        <v>784</v>
      </c>
      <c r="C1667" t="s">
        <v>913</v>
      </c>
      <c r="D1667" s="1" t="str">
        <f>IFERROR(VLOOKUP(A1667,'MLR Data'!$A$2:$D$706,4,0),"")</f>
        <v/>
      </c>
      <c r="E1667" s="5" t="s">
        <v>26</v>
      </c>
    </row>
    <row r="1668" spans="1:5" x14ac:dyDescent="0.3">
      <c r="A1668" t="s">
        <v>1669</v>
      </c>
      <c r="B1668" t="s">
        <v>784</v>
      </c>
      <c r="C1668" t="s">
        <v>911</v>
      </c>
      <c r="D1668" s="1" t="str">
        <f>IFERROR(VLOOKUP(A1668,'MLR Data'!$A$2:$D$706,4,0),"")</f>
        <v/>
      </c>
    </row>
    <row r="1669" spans="1:5" x14ac:dyDescent="0.3">
      <c r="A1669" t="s">
        <v>1670</v>
      </c>
      <c r="B1669" t="s">
        <v>784</v>
      </c>
      <c r="C1669" t="s">
        <v>1013</v>
      </c>
      <c r="D1669" s="1" t="str">
        <f>IFERROR(VLOOKUP(A1669,'MLR Data'!$A$2:$D$706,4,0),"")</f>
        <v/>
      </c>
    </row>
    <row r="1670" spans="1:5" x14ac:dyDescent="0.3">
      <c r="A1670" t="s">
        <v>1671</v>
      </c>
      <c r="B1670" t="s">
        <v>784</v>
      </c>
      <c r="C1670" t="s">
        <v>910</v>
      </c>
      <c r="D1670" s="1" t="str">
        <f>IFERROR(VLOOKUP(A1670,'MLR Data'!$A$2:$D$706,4,0),"")</f>
        <v/>
      </c>
    </row>
    <row r="1671" spans="1:5" x14ac:dyDescent="0.3">
      <c r="A1671" t="s">
        <v>1672</v>
      </c>
      <c r="B1671" t="s">
        <v>784</v>
      </c>
      <c r="C1671" t="s">
        <v>478</v>
      </c>
      <c r="D1671" s="1" t="str">
        <f>IFERROR(VLOOKUP(A1671,'MLR Data'!$A$2:$D$706,4,0),"")</f>
        <v/>
      </c>
      <c r="E1671" s="5" t="s">
        <v>20</v>
      </c>
    </row>
    <row r="1672" spans="1:5" x14ac:dyDescent="0.3">
      <c r="A1672" t="s">
        <v>1673</v>
      </c>
      <c r="B1672" t="s">
        <v>784</v>
      </c>
      <c r="C1672" t="s">
        <v>914</v>
      </c>
      <c r="D1672" s="1" t="str">
        <f>IFERROR(VLOOKUP(A1672,'MLR Data'!$A$2:$D$706,4,0),"")</f>
        <v/>
      </c>
    </row>
    <row r="1673" spans="1:5" x14ac:dyDescent="0.3">
      <c r="A1673" t="s">
        <v>1674</v>
      </c>
      <c r="B1673" t="s">
        <v>784</v>
      </c>
      <c r="C1673" t="s">
        <v>407</v>
      </c>
      <c r="D1673" s="1" t="str">
        <f>IFERROR(VLOOKUP(A1673,'MLR Data'!$A$2:$D$706,4,0),"")</f>
        <v/>
      </c>
      <c r="E1673" s="5" t="s">
        <v>26</v>
      </c>
    </row>
    <row r="1674" spans="1:5" x14ac:dyDescent="0.3">
      <c r="A1674" t="s">
        <v>1675</v>
      </c>
      <c r="B1674" t="s">
        <v>784</v>
      </c>
      <c r="C1674" t="s">
        <v>383</v>
      </c>
      <c r="D1674" s="1" t="str">
        <f>IFERROR(VLOOKUP(A1674,'MLR Data'!$A$2:$D$706,4,0),"")</f>
        <v/>
      </c>
    </row>
    <row r="1675" spans="1:5" x14ac:dyDescent="0.3">
      <c r="A1675" t="s">
        <v>1676</v>
      </c>
      <c r="B1675" t="s">
        <v>791</v>
      </c>
      <c r="C1675" t="s">
        <v>535</v>
      </c>
      <c r="D1675" s="1" t="str">
        <f>IFERROR(VLOOKUP(A1675,'MLR Data'!$A$2:$D$706,4,0),"")</f>
        <v/>
      </c>
    </row>
    <row r="1676" spans="1:5" x14ac:dyDescent="0.3">
      <c r="A1676" t="s">
        <v>1677</v>
      </c>
      <c r="B1676" t="s">
        <v>791</v>
      </c>
      <c r="C1676" t="s">
        <v>911</v>
      </c>
      <c r="D1676" s="1" t="str">
        <f>IFERROR(VLOOKUP(A1676,'MLR Data'!$A$2:$D$706,4,0),"")</f>
        <v/>
      </c>
      <c r="E1676" s="5" t="s">
        <v>31</v>
      </c>
    </row>
    <row r="1677" spans="1:5" x14ac:dyDescent="0.3">
      <c r="A1677" t="s">
        <v>1678</v>
      </c>
      <c r="B1677" t="s">
        <v>791</v>
      </c>
      <c r="C1677" t="s">
        <v>431</v>
      </c>
      <c r="D1677" s="1" t="str">
        <f>IFERROR(VLOOKUP(A1677,'MLR Data'!$A$2:$D$706,4,0),"")</f>
        <v/>
      </c>
    </row>
    <row r="1678" spans="1:5" x14ac:dyDescent="0.3">
      <c r="A1678" t="s">
        <v>1679</v>
      </c>
      <c r="B1678" t="s">
        <v>791</v>
      </c>
      <c r="C1678" t="s">
        <v>1014</v>
      </c>
      <c r="D1678" s="1" t="str">
        <f>IFERROR(VLOOKUP(A1678,'MLR Data'!$A$2:$D$706,4,0),"")</f>
        <v/>
      </c>
    </row>
    <row r="1679" spans="1:5" x14ac:dyDescent="0.3">
      <c r="A1679" t="s">
        <v>1680</v>
      </c>
      <c r="B1679" t="s">
        <v>791</v>
      </c>
      <c r="C1679" t="s">
        <v>415</v>
      </c>
      <c r="D1679" s="1" t="str">
        <f>IFERROR(VLOOKUP(A1679,'MLR Data'!$A$2:$D$706,4,0),"")</f>
        <v/>
      </c>
      <c r="E1679" s="5" t="s">
        <v>16</v>
      </c>
    </row>
    <row r="1680" spans="1:5" x14ac:dyDescent="0.3">
      <c r="A1680" t="s">
        <v>1681</v>
      </c>
      <c r="B1680" t="s">
        <v>791</v>
      </c>
      <c r="C1680" t="s">
        <v>909</v>
      </c>
      <c r="D1680" s="1" t="str">
        <f>IFERROR(VLOOKUP(A1680,'MLR Data'!$A$2:$D$706,4,0),"")</f>
        <v/>
      </c>
      <c r="E1680" s="5" t="s">
        <v>16</v>
      </c>
    </row>
    <row r="1681" spans="1:5" x14ac:dyDescent="0.3">
      <c r="A1681" t="s">
        <v>1682</v>
      </c>
      <c r="B1681" t="s">
        <v>791</v>
      </c>
      <c r="C1681" t="s">
        <v>1015</v>
      </c>
      <c r="D1681" s="1" t="str">
        <f>IFERROR(VLOOKUP(A1681,'MLR Data'!$A$2:$D$706,4,0),"")</f>
        <v/>
      </c>
    </row>
    <row r="1682" spans="1:5" x14ac:dyDescent="0.3">
      <c r="A1682" t="s">
        <v>1683</v>
      </c>
      <c r="B1682" t="s">
        <v>791</v>
      </c>
      <c r="C1682" t="s">
        <v>913</v>
      </c>
      <c r="D1682" s="1" t="str">
        <f>IFERROR(VLOOKUP(A1682,'MLR Data'!$A$2:$D$706,4,0),"")</f>
        <v/>
      </c>
      <c r="E1682" s="5" t="s">
        <v>4</v>
      </c>
    </row>
    <row r="1683" spans="1:5" x14ac:dyDescent="0.3">
      <c r="A1683" t="s">
        <v>1684</v>
      </c>
      <c r="B1683" t="s">
        <v>791</v>
      </c>
      <c r="C1683" t="s">
        <v>478</v>
      </c>
      <c r="D1683" s="1" t="str">
        <f>IFERROR(VLOOKUP(A1683,'MLR Data'!$A$2:$D$706,4,0),"")</f>
        <v/>
      </c>
      <c r="E1683" s="5" t="s">
        <v>20</v>
      </c>
    </row>
    <row r="1684" spans="1:5" x14ac:dyDescent="0.3">
      <c r="A1684" t="s">
        <v>1685</v>
      </c>
      <c r="B1684" t="s">
        <v>791</v>
      </c>
      <c r="C1684" t="s">
        <v>910</v>
      </c>
      <c r="D1684" s="1" t="str">
        <f>IFERROR(VLOOKUP(A1684,'MLR Data'!$A$2:$D$706,4,0),"")</f>
        <v/>
      </c>
    </row>
    <row r="1685" spans="1:5" x14ac:dyDescent="0.3">
      <c r="A1685" t="s">
        <v>1686</v>
      </c>
      <c r="B1685" t="s">
        <v>791</v>
      </c>
      <c r="C1685" t="s">
        <v>914</v>
      </c>
      <c r="D1685" s="1" t="str">
        <f>IFERROR(VLOOKUP(A1685,'MLR Data'!$A$2:$D$706,4,0),"")</f>
        <v/>
      </c>
    </row>
    <row r="1686" spans="1:5" x14ac:dyDescent="0.3">
      <c r="A1686" t="s">
        <v>1687</v>
      </c>
      <c r="B1686" t="s">
        <v>791</v>
      </c>
      <c r="C1686" t="s">
        <v>404</v>
      </c>
      <c r="D1686" s="1" t="str">
        <f>IFERROR(VLOOKUP(A1686,'MLR Data'!$A$2:$D$706,4,0),"")</f>
        <v/>
      </c>
    </row>
    <row r="1687" spans="1:5" x14ac:dyDescent="0.3">
      <c r="A1687" t="s">
        <v>1688</v>
      </c>
      <c r="B1687" t="s">
        <v>791</v>
      </c>
      <c r="C1687" t="s">
        <v>921</v>
      </c>
      <c r="D1687" s="1" t="str">
        <f>IFERROR(VLOOKUP(A1687,'MLR Data'!$A$2:$D$706,4,0),"")</f>
        <v/>
      </c>
      <c r="E1687" s="5" t="s">
        <v>4</v>
      </c>
    </row>
    <row r="1688" spans="1:5" x14ac:dyDescent="0.3">
      <c r="A1688" t="s">
        <v>1689</v>
      </c>
      <c r="B1688" t="s">
        <v>791</v>
      </c>
      <c r="C1688" t="s">
        <v>1016</v>
      </c>
      <c r="D1688" s="1" t="str">
        <f>IFERROR(VLOOKUP(A1688,'MLR Data'!$A$2:$D$706,4,0),"")</f>
        <v/>
      </c>
      <c r="E1688" s="5" t="s">
        <v>310</v>
      </c>
    </row>
    <row r="1689" spans="1:5" x14ac:dyDescent="0.3">
      <c r="A1689" t="s">
        <v>1690</v>
      </c>
      <c r="B1689" t="s">
        <v>791</v>
      </c>
      <c r="C1689" t="s">
        <v>924</v>
      </c>
      <c r="D1689" s="1" t="str">
        <f>IFERROR(VLOOKUP(A1689,'MLR Data'!$A$2:$D$706,4,0),"")</f>
        <v/>
      </c>
    </row>
    <row r="1690" spans="1:5" x14ac:dyDescent="0.3">
      <c r="A1690" t="s">
        <v>1691</v>
      </c>
      <c r="B1690" t="s">
        <v>791</v>
      </c>
      <c r="C1690" t="s">
        <v>374</v>
      </c>
      <c r="D1690" s="1" t="str">
        <f>IFERROR(VLOOKUP(A1690,'MLR Data'!$A$2:$D$706,4,0),"")</f>
        <v/>
      </c>
    </row>
    <row r="1691" spans="1:5" x14ac:dyDescent="0.3">
      <c r="A1691" t="s">
        <v>1692</v>
      </c>
      <c r="B1691" t="s">
        <v>791</v>
      </c>
      <c r="C1691" t="s">
        <v>1017</v>
      </c>
      <c r="D1691" s="1" t="str">
        <f>IFERROR(VLOOKUP(A1691,'MLR Data'!$A$2:$D$706,4,0),"")</f>
        <v/>
      </c>
    </row>
    <row r="1692" spans="1:5" x14ac:dyDescent="0.3">
      <c r="A1692" t="s">
        <v>1693</v>
      </c>
      <c r="B1692" t="s">
        <v>791</v>
      </c>
      <c r="C1692" t="s">
        <v>724</v>
      </c>
      <c r="D1692" s="1" t="str">
        <f>IFERROR(VLOOKUP(A1692,'MLR Data'!$A$2:$D$706,4,0),"")</f>
        <v/>
      </c>
    </row>
    <row r="1693" spans="1:5" x14ac:dyDescent="0.3">
      <c r="A1693" t="s">
        <v>1694</v>
      </c>
      <c r="B1693" t="s">
        <v>791</v>
      </c>
      <c r="C1693" t="s">
        <v>1018</v>
      </c>
      <c r="D1693" s="1" t="str">
        <f>IFERROR(VLOOKUP(A1693,'MLR Data'!$A$2:$D$706,4,0),"")</f>
        <v/>
      </c>
      <c r="E1693" s="5" t="s">
        <v>20</v>
      </c>
    </row>
    <row r="1694" spans="1:5" x14ac:dyDescent="0.3">
      <c r="A1694" t="s">
        <v>1695</v>
      </c>
      <c r="B1694" t="s">
        <v>813</v>
      </c>
      <c r="C1694" t="s">
        <v>911</v>
      </c>
      <c r="D1694" s="1" t="str">
        <f>IFERROR(VLOOKUP(A1694,'MLR Data'!$A$2:$D$706,4,0),"")</f>
        <v/>
      </c>
      <c r="E1694" s="5" t="s">
        <v>31</v>
      </c>
    </row>
    <row r="1695" spans="1:5" x14ac:dyDescent="0.3">
      <c r="A1695" t="s">
        <v>1696</v>
      </c>
      <c r="B1695" t="s">
        <v>813</v>
      </c>
      <c r="C1695" t="s">
        <v>381</v>
      </c>
      <c r="D1695" s="1" t="str">
        <f>IFERROR(VLOOKUP(A1695,'MLR Data'!$A$2:$D$706,4,0),"")</f>
        <v/>
      </c>
    </row>
    <row r="1696" spans="1:5" x14ac:dyDescent="0.3">
      <c r="A1696" t="s">
        <v>1697</v>
      </c>
      <c r="B1696" t="s">
        <v>813</v>
      </c>
      <c r="C1696" t="s">
        <v>390</v>
      </c>
      <c r="D1696" s="1" t="str">
        <f>IFERROR(VLOOKUP(A1696,'MLR Data'!$A$2:$D$706,4,0),"")</f>
        <v/>
      </c>
    </row>
    <row r="1697" spans="1:5" x14ac:dyDescent="0.3">
      <c r="A1697" t="s">
        <v>1698</v>
      </c>
      <c r="B1697" t="s">
        <v>813</v>
      </c>
      <c r="C1697" t="s">
        <v>384</v>
      </c>
      <c r="D1697" s="1" t="str">
        <f>IFERROR(VLOOKUP(A1697,'MLR Data'!$A$2:$D$706,4,0),"")</f>
        <v/>
      </c>
    </row>
    <row r="1698" spans="1:5" x14ac:dyDescent="0.3">
      <c r="A1698" t="s">
        <v>1699</v>
      </c>
      <c r="B1698" t="s">
        <v>813</v>
      </c>
      <c r="C1698" t="s">
        <v>374</v>
      </c>
      <c r="D1698" s="1" t="str">
        <f>IFERROR(VLOOKUP(A1698,'MLR Data'!$A$2:$D$706,4,0),"")</f>
        <v/>
      </c>
    </row>
    <row r="1699" spans="1:5" x14ac:dyDescent="0.3">
      <c r="A1699" t="s">
        <v>1700</v>
      </c>
      <c r="B1699" t="s">
        <v>813</v>
      </c>
      <c r="C1699" t="s">
        <v>431</v>
      </c>
      <c r="D1699" s="1" t="str">
        <f>IFERROR(VLOOKUP(A1699,'MLR Data'!$A$2:$D$706,4,0),"")</f>
        <v/>
      </c>
    </row>
    <row r="1700" spans="1:5" x14ac:dyDescent="0.3">
      <c r="A1700" t="s">
        <v>1701</v>
      </c>
      <c r="B1700" t="s">
        <v>813</v>
      </c>
      <c r="C1700" t="s">
        <v>909</v>
      </c>
      <c r="D1700" s="1" t="str">
        <f>IFERROR(VLOOKUP(A1700,'MLR Data'!$A$2:$D$706,4,0),"")</f>
        <v/>
      </c>
      <c r="E1700" s="5" t="s">
        <v>16</v>
      </c>
    </row>
    <row r="1701" spans="1:5" x14ac:dyDescent="0.3">
      <c r="A1701" t="s">
        <v>1702</v>
      </c>
      <c r="B1701" t="s">
        <v>813</v>
      </c>
      <c r="C1701" t="s">
        <v>478</v>
      </c>
      <c r="D1701" s="1" t="str">
        <f>IFERROR(VLOOKUP(A1701,'MLR Data'!$A$2:$D$706,4,0),"")</f>
        <v/>
      </c>
      <c r="E1701" s="5" t="s">
        <v>20</v>
      </c>
    </row>
    <row r="1702" spans="1:5" x14ac:dyDescent="0.3">
      <c r="A1702" t="s">
        <v>1703</v>
      </c>
      <c r="B1702" t="s">
        <v>813</v>
      </c>
      <c r="C1702" t="s">
        <v>910</v>
      </c>
      <c r="D1702" s="1" t="str">
        <f>IFERROR(VLOOKUP(A1702,'MLR Data'!$A$2:$D$706,4,0),"")</f>
        <v/>
      </c>
    </row>
    <row r="1703" spans="1:5" x14ac:dyDescent="0.3">
      <c r="A1703" t="s">
        <v>1704</v>
      </c>
      <c r="B1703" t="s">
        <v>813</v>
      </c>
      <c r="C1703" t="s">
        <v>416</v>
      </c>
      <c r="D1703" s="1" t="str">
        <f>IFERROR(VLOOKUP(A1703,'MLR Data'!$A$2:$D$706,4,0),"")</f>
        <v/>
      </c>
    </row>
    <row r="1704" spans="1:5" x14ac:dyDescent="0.3">
      <c r="A1704" t="s">
        <v>1705</v>
      </c>
      <c r="B1704" t="s">
        <v>813</v>
      </c>
      <c r="C1704" t="s">
        <v>918</v>
      </c>
      <c r="D1704" s="1" t="str">
        <f>IFERROR(VLOOKUP(A1704,'MLR Data'!$A$2:$D$706,4,0),"")</f>
        <v/>
      </c>
      <c r="E1704" s="5" t="s">
        <v>31</v>
      </c>
    </row>
    <row r="1705" spans="1:5" x14ac:dyDescent="0.3">
      <c r="A1705" t="s">
        <v>1706</v>
      </c>
      <c r="B1705" t="s">
        <v>813</v>
      </c>
      <c r="C1705" t="s">
        <v>913</v>
      </c>
      <c r="D1705" s="1" t="str">
        <f>IFERROR(VLOOKUP(A1705,'MLR Data'!$A$2:$D$706,4,0),"")</f>
        <v/>
      </c>
      <c r="E1705" s="5" t="s">
        <v>4</v>
      </c>
    </row>
    <row r="1706" spans="1:5" x14ac:dyDescent="0.3">
      <c r="A1706" t="s">
        <v>1707</v>
      </c>
      <c r="B1706" t="s">
        <v>823</v>
      </c>
      <c r="C1706" t="s">
        <v>387</v>
      </c>
      <c r="D1706" s="1" t="str">
        <f>IFERROR(VLOOKUP(A1706,'MLR Data'!$A$2:$D$706,4,0),"")</f>
        <v/>
      </c>
      <c r="E1706" s="5" t="s">
        <v>4</v>
      </c>
    </row>
    <row r="1707" spans="1:5" x14ac:dyDescent="0.3">
      <c r="A1707" t="s">
        <v>1708</v>
      </c>
      <c r="B1707" t="s">
        <v>823</v>
      </c>
      <c r="C1707" t="s">
        <v>431</v>
      </c>
      <c r="D1707" s="1" t="str">
        <f>IFERROR(VLOOKUP(A1707,'MLR Data'!$A$2:$D$706,4,0),"")</f>
        <v/>
      </c>
    </row>
    <row r="1708" spans="1:5" x14ac:dyDescent="0.3">
      <c r="A1708" t="s">
        <v>1709</v>
      </c>
      <c r="B1708" t="s">
        <v>823</v>
      </c>
      <c r="C1708" t="s">
        <v>372</v>
      </c>
      <c r="D1708" s="1" t="str">
        <f>IFERROR(VLOOKUP(A1708,'MLR Data'!$A$2:$D$706,4,0),"")</f>
        <v/>
      </c>
      <c r="E1708" s="5" t="s">
        <v>15</v>
      </c>
    </row>
    <row r="1709" spans="1:5" x14ac:dyDescent="0.3">
      <c r="A1709" t="s">
        <v>1710</v>
      </c>
      <c r="B1709" t="s">
        <v>823</v>
      </c>
      <c r="C1709" t="s">
        <v>415</v>
      </c>
      <c r="D1709" s="1" t="str">
        <f>IFERROR(VLOOKUP(A1709,'MLR Data'!$A$2:$D$706,4,0),"")</f>
        <v/>
      </c>
      <c r="E1709" s="5" t="s">
        <v>16</v>
      </c>
    </row>
    <row r="1710" spans="1:5" x14ac:dyDescent="0.3">
      <c r="A1710" t="s">
        <v>1711</v>
      </c>
      <c r="B1710" t="s">
        <v>823</v>
      </c>
      <c r="C1710" t="s">
        <v>909</v>
      </c>
      <c r="D1710" s="1" t="str">
        <f>IFERROR(VLOOKUP(A1710,'MLR Data'!$A$2:$D$706,4,0),"")</f>
        <v/>
      </c>
      <c r="E1710" s="5" t="s">
        <v>16</v>
      </c>
    </row>
    <row r="1711" spans="1:5" x14ac:dyDescent="0.3">
      <c r="A1711" t="s">
        <v>1712</v>
      </c>
      <c r="B1711" t="s">
        <v>823</v>
      </c>
      <c r="C1711" t="s">
        <v>416</v>
      </c>
      <c r="D1711" s="1" t="str">
        <f>IFERROR(VLOOKUP(A1711,'MLR Data'!$A$2:$D$706,4,0),"")</f>
        <v/>
      </c>
    </row>
    <row r="1712" spans="1:5" x14ac:dyDescent="0.3">
      <c r="A1712" t="s">
        <v>1713</v>
      </c>
      <c r="B1712" t="s">
        <v>823</v>
      </c>
      <c r="C1712" t="s">
        <v>390</v>
      </c>
      <c r="D1712" s="1" t="str">
        <f>IFERROR(VLOOKUP(A1712,'MLR Data'!$A$2:$D$706,4,0),"")</f>
        <v/>
      </c>
    </row>
    <row r="1713" spans="1:5" x14ac:dyDescent="0.3">
      <c r="A1713" t="s">
        <v>1714</v>
      </c>
      <c r="B1713" t="s">
        <v>823</v>
      </c>
      <c r="C1713" t="s">
        <v>478</v>
      </c>
      <c r="D1713" s="1" t="str">
        <f>IFERROR(VLOOKUP(A1713,'MLR Data'!$A$2:$D$706,4,0),"")</f>
        <v/>
      </c>
      <c r="E1713" s="5" t="s">
        <v>20</v>
      </c>
    </row>
    <row r="1714" spans="1:5" x14ac:dyDescent="0.3">
      <c r="A1714" t="s">
        <v>1715</v>
      </c>
      <c r="B1714" t="s">
        <v>823</v>
      </c>
      <c r="C1714" t="s">
        <v>913</v>
      </c>
      <c r="D1714" s="1" t="str">
        <f>IFERROR(VLOOKUP(A1714,'MLR Data'!$A$2:$D$706,4,0),"")</f>
        <v/>
      </c>
      <c r="E1714" s="5" t="s">
        <v>4</v>
      </c>
    </row>
    <row r="1715" spans="1:5" x14ac:dyDescent="0.3">
      <c r="A1715" t="s">
        <v>1716</v>
      </c>
      <c r="B1715" t="s">
        <v>823</v>
      </c>
      <c r="C1715" t="s">
        <v>384</v>
      </c>
      <c r="D1715" s="1" t="str">
        <f>IFERROR(VLOOKUP(A1715,'MLR Data'!$A$2:$D$706,4,0),"")</f>
        <v/>
      </c>
    </row>
    <row r="1716" spans="1:5" x14ac:dyDescent="0.3">
      <c r="A1716" t="s">
        <v>1717</v>
      </c>
      <c r="B1716" t="s">
        <v>823</v>
      </c>
      <c r="C1716" t="s">
        <v>383</v>
      </c>
      <c r="D1716" s="1" t="str">
        <f>IFERROR(VLOOKUP(A1716,'MLR Data'!$A$2:$D$706,4,0),"")</f>
        <v/>
      </c>
    </row>
    <row r="1717" spans="1:5" x14ac:dyDescent="0.3">
      <c r="A1717" t="s">
        <v>1718</v>
      </c>
      <c r="B1717" t="s">
        <v>823</v>
      </c>
      <c r="C1717" t="s">
        <v>391</v>
      </c>
      <c r="D1717" s="1" t="str">
        <f>IFERROR(VLOOKUP(A1717,'MLR Data'!$A$2:$D$706,4,0),"")</f>
        <v/>
      </c>
    </row>
    <row r="1718" spans="1:5" x14ac:dyDescent="0.3">
      <c r="A1718" t="s">
        <v>1719</v>
      </c>
      <c r="B1718" t="s">
        <v>823</v>
      </c>
      <c r="C1718" t="s">
        <v>473</v>
      </c>
      <c r="D1718" s="1" t="str">
        <f>IFERROR(VLOOKUP(A1718,'MLR Data'!$A$2:$D$706,4,0),"")</f>
        <v/>
      </c>
    </row>
    <row r="1719" spans="1:5" x14ac:dyDescent="0.3">
      <c r="A1719" t="s">
        <v>1720</v>
      </c>
      <c r="B1719" t="s">
        <v>823</v>
      </c>
      <c r="C1719" t="s">
        <v>407</v>
      </c>
      <c r="D1719" s="1" t="str">
        <f>IFERROR(VLOOKUP(A1719,'MLR Data'!$A$2:$D$706,4,0),"")</f>
        <v/>
      </c>
      <c r="E1719" s="5" t="s">
        <v>4</v>
      </c>
    </row>
    <row r="1720" spans="1:5" x14ac:dyDescent="0.3">
      <c r="A1720" t="s">
        <v>1721</v>
      </c>
      <c r="B1720" t="s">
        <v>819</v>
      </c>
      <c r="C1720" t="s">
        <v>913</v>
      </c>
      <c r="D1720" s="1" t="str">
        <f>IFERROR(VLOOKUP(A1720,'MLR Data'!$A$2:$D$706,4,0),"")</f>
        <v/>
      </c>
      <c r="E1720" s="5" t="s">
        <v>4</v>
      </c>
    </row>
    <row r="1721" spans="1:5" x14ac:dyDescent="0.3">
      <c r="A1721" t="s">
        <v>1722</v>
      </c>
      <c r="B1721" t="s">
        <v>819</v>
      </c>
      <c r="C1721" t="s">
        <v>478</v>
      </c>
      <c r="D1721" s="1" t="str">
        <f>IFERROR(VLOOKUP(A1721,'MLR Data'!$A$2:$D$706,4,0),"")</f>
        <v/>
      </c>
      <c r="E1721" s="5" t="s">
        <v>20</v>
      </c>
    </row>
    <row r="1722" spans="1:5" x14ac:dyDescent="0.3">
      <c r="A1722" t="s">
        <v>1723</v>
      </c>
      <c r="B1722" t="s">
        <v>819</v>
      </c>
      <c r="C1722" t="s">
        <v>415</v>
      </c>
      <c r="D1722" s="1" t="str">
        <f>IFERROR(VLOOKUP(A1722,'MLR Data'!$A$2:$D$706,4,0),"")</f>
        <v/>
      </c>
      <c r="E1722" s="5" t="s">
        <v>16</v>
      </c>
    </row>
    <row r="1723" spans="1:5" x14ac:dyDescent="0.3">
      <c r="A1723" t="s">
        <v>1724</v>
      </c>
      <c r="B1723" t="s">
        <v>819</v>
      </c>
      <c r="C1723" t="s">
        <v>461</v>
      </c>
      <c r="D1723" s="1" t="str">
        <f>IFERROR(VLOOKUP(A1723,'MLR Data'!$A$2:$D$706,4,0),"")</f>
        <v/>
      </c>
    </row>
    <row r="1724" spans="1:5" x14ac:dyDescent="0.3">
      <c r="A1724" t="s">
        <v>1725</v>
      </c>
      <c r="B1724" t="s">
        <v>819</v>
      </c>
      <c r="C1724" t="s">
        <v>916</v>
      </c>
      <c r="D1724" s="1" t="str">
        <f>IFERROR(VLOOKUP(A1724,'MLR Data'!$A$2:$D$706,4,0),"")</f>
        <v/>
      </c>
    </row>
    <row r="1725" spans="1:5" x14ac:dyDescent="0.3">
      <c r="A1725" t="s">
        <v>1726</v>
      </c>
      <c r="B1725" t="s">
        <v>819</v>
      </c>
      <c r="C1725" t="s">
        <v>391</v>
      </c>
      <c r="D1725" s="1" t="str">
        <f>IFERROR(VLOOKUP(A1725,'MLR Data'!$A$2:$D$706,4,0),"")</f>
        <v/>
      </c>
    </row>
    <row r="1726" spans="1:5" x14ac:dyDescent="0.3">
      <c r="A1726" t="s">
        <v>1727</v>
      </c>
      <c r="B1726" t="s">
        <v>819</v>
      </c>
      <c r="C1726" t="s">
        <v>431</v>
      </c>
      <c r="D1726" s="1" t="str">
        <f>IFERROR(VLOOKUP(A1726,'MLR Data'!$A$2:$D$706,4,0),"")</f>
        <v/>
      </c>
    </row>
    <row r="1727" spans="1:5" x14ac:dyDescent="0.3">
      <c r="A1727" t="s">
        <v>1728</v>
      </c>
      <c r="B1727" t="s">
        <v>819</v>
      </c>
      <c r="C1727" t="s">
        <v>416</v>
      </c>
      <c r="D1727" s="1" t="str">
        <f>IFERROR(VLOOKUP(A1727,'MLR Data'!$A$2:$D$706,4,0),"")</f>
        <v/>
      </c>
    </row>
    <row r="1728" spans="1:5" x14ac:dyDescent="0.3">
      <c r="A1728" t="s">
        <v>1729</v>
      </c>
      <c r="B1728" t="s">
        <v>819</v>
      </c>
      <c r="C1728" t="s">
        <v>1019</v>
      </c>
      <c r="D1728" s="1" t="str">
        <f>IFERROR(VLOOKUP(A1728,'MLR Data'!$A$2:$D$706,4,0),"")</f>
        <v/>
      </c>
      <c r="E1728" s="5" t="s">
        <v>331</v>
      </c>
    </row>
    <row r="1729" spans="1:5" x14ac:dyDescent="0.3">
      <c r="A1729" t="s">
        <v>1730</v>
      </c>
      <c r="B1729" t="s">
        <v>819</v>
      </c>
      <c r="C1729" t="s">
        <v>724</v>
      </c>
      <c r="D1729" s="1" t="str">
        <f>IFERROR(VLOOKUP(A1729,'MLR Data'!$A$2:$D$706,4,0),"")</f>
        <v/>
      </c>
    </row>
    <row r="1730" spans="1:5" x14ac:dyDescent="0.3">
      <c r="A1730" t="s">
        <v>1731</v>
      </c>
      <c r="B1730" t="s">
        <v>819</v>
      </c>
      <c r="C1730" t="s">
        <v>1020</v>
      </c>
      <c r="D1730" s="1" t="str">
        <f>IFERROR(VLOOKUP(A1730,'MLR Data'!$A$2:$D$706,4,0),"")</f>
        <v/>
      </c>
    </row>
    <row r="1731" spans="1:5" x14ac:dyDescent="0.3">
      <c r="A1731" t="s">
        <v>1732</v>
      </c>
      <c r="B1731" t="s">
        <v>819</v>
      </c>
      <c r="C1731" t="s">
        <v>911</v>
      </c>
      <c r="D1731" s="1" t="str">
        <f>IFERROR(VLOOKUP(A1731,'MLR Data'!$A$2:$D$706,4,0),"")</f>
        <v/>
      </c>
    </row>
    <row r="1732" spans="1:5" x14ac:dyDescent="0.3">
      <c r="A1732" t="s">
        <v>1733</v>
      </c>
      <c r="B1732" t="s">
        <v>819</v>
      </c>
      <c r="C1732" t="s">
        <v>451</v>
      </c>
      <c r="D1732" s="1" t="str">
        <f>IFERROR(VLOOKUP(A1732,'MLR Data'!$A$2:$D$706,4,0),"")</f>
        <v/>
      </c>
    </row>
    <row r="1733" spans="1:5" x14ac:dyDescent="0.3">
      <c r="A1733" t="s">
        <v>1734</v>
      </c>
      <c r="B1733" t="s">
        <v>819</v>
      </c>
      <c r="C1733" t="s">
        <v>910</v>
      </c>
      <c r="D1733" s="1" t="str">
        <f>IFERROR(VLOOKUP(A1733,'MLR Data'!$A$2:$D$706,4,0),"")</f>
        <v/>
      </c>
    </row>
    <row r="1734" spans="1:5" x14ac:dyDescent="0.3">
      <c r="A1734" t="s">
        <v>1735</v>
      </c>
      <c r="B1734" t="s">
        <v>819</v>
      </c>
      <c r="C1734" t="s">
        <v>912</v>
      </c>
      <c r="D1734" s="1" t="str">
        <f>IFERROR(VLOOKUP(A1734,'MLR Data'!$A$2:$D$706,4,0),"")</f>
        <v/>
      </c>
      <c r="E1734" s="5" t="s">
        <v>13</v>
      </c>
    </row>
    <row r="1735" spans="1:5" x14ac:dyDescent="0.3">
      <c r="A1735" t="s">
        <v>1736</v>
      </c>
      <c r="B1735" t="s">
        <v>819</v>
      </c>
      <c r="C1735" t="s">
        <v>909</v>
      </c>
      <c r="D1735" s="1" t="str">
        <f>IFERROR(VLOOKUP(A1735,'MLR Data'!$A$2:$D$706,4,0),"")</f>
        <v/>
      </c>
      <c r="E1735" s="5" t="s">
        <v>16</v>
      </c>
    </row>
    <row r="1736" spans="1:5" x14ac:dyDescent="0.3">
      <c r="A1736" t="s">
        <v>1737</v>
      </c>
      <c r="B1736" t="s">
        <v>819</v>
      </c>
      <c r="C1736" t="s">
        <v>514</v>
      </c>
      <c r="D1736" s="1" t="str">
        <f>IFERROR(VLOOKUP(A1736,'MLR Data'!$A$2:$D$706,4,0),"")</f>
        <v/>
      </c>
    </row>
    <row r="1737" spans="1:5" x14ac:dyDescent="0.3">
      <c r="A1737" t="s">
        <v>1738</v>
      </c>
      <c r="B1737" t="s">
        <v>824</v>
      </c>
      <c r="C1737" t="s">
        <v>431</v>
      </c>
      <c r="D1737" s="1" t="str">
        <f>IFERROR(VLOOKUP(A1737,'MLR Data'!$A$2:$D$706,4,0),"")</f>
        <v/>
      </c>
    </row>
    <row r="1738" spans="1:5" x14ac:dyDescent="0.3">
      <c r="A1738" t="s">
        <v>1739</v>
      </c>
      <c r="B1738" t="s">
        <v>824</v>
      </c>
      <c r="C1738" t="s">
        <v>916</v>
      </c>
      <c r="D1738" s="1" t="str">
        <f>IFERROR(VLOOKUP(A1738,'MLR Data'!$A$2:$D$706,4,0),"")</f>
        <v/>
      </c>
    </row>
    <row r="1739" spans="1:5" x14ac:dyDescent="0.3">
      <c r="A1739" t="s">
        <v>1740</v>
      </c>
      <c r="B1739" t="s">
        <v>824</v>
      </c>
      <c r="C1739" t="s">
        <v>1021</v>
      </c>
      <c r="D1739" s="1" t="str">
        <f>IFERROR(VLOOKUP(A1739,'MLR Data'!$A$2:$D$706,4,0),"")</f>
        <v/>
      </c>
    </row>
    <row r="1740" spans="1:5" x14ac:dyDescent="0.3">
      <c r="A1740" t="s">
        <v>1741</v>
      </c>
      <c r="B1740" t="s">
        <v>824</v>
      </c>
      <c r="C1740" t="s">
        <v>535</v>
      </c>
      <c r="D1740" s="1" t="str">
        <f>IFERROR(VLOOKUP(A1740,'MLR Data'!$A$2:$D$706,4,0),"")</f>
        <v/>
      </c>
    </row>
    <row r="1741" spans="1:5" x14ac:dyDescent="0.3">
      <c r="A1741" t="s">
        <v>1742</v>
      </c>
      <c r="B1741" t="s">
        <v>824</v>
      </c>
      <c r="C1741" t="s">
        <v>910</v>
      </c>
      <c r="D1741" s="1" t="str">
        <f>IFERROR(VLOOKUP(A1741,'MLR Data'!$A$2:$D$706,4,0),"")</f>
        <v/>
      </c>
    </row>
    <row r="1742" spans="1:5" x14ac:dyDescent="0.3">
      <c r="A1742" t="s">
        <v>1743</v>
      </c>
      <c r="B1742" t="s">
        <v>824</v>
      </c>
      <c r="C1742" t="s">
        <v>374</v>
      </c>
      <c r="D1742" s="1" t="str">
        <f>IFERROR(VLOOKUP(A1742,'MLR Data'!$A$2:$D$706,4,0),"")</f>
        <v/>
      </c>
    </row>
    <row r="1743" spans="1:5" x14ac:dyDescent="0.3">
      <c r="A1743" t="s">
        <v>1744</v>
      </c>
      <c r="B1743" t="s">
        <v>824</v>
      </c>
      <c r="C1743" t="s">
        <v>461</v>
      </c>
      <c r="D1743" s="1" t="str">
        <f>IFERROR(VLOOKUP(A1743,'MLR Data'!$A$2:$D$706,4,0),"")</f>
        <v/>
      </c>
      <c r="E1743" s="5" t="s">
        <v>28</v>
      </c>
    </row>
    <row r="1744" spans="1:5" x14ac:dyDescent="0.3">
      <c r="A1744" t="s">
        <v>1745</v>
      </c>
      <c r="B1744" t="s">
        <v>824</v>
      </c>
      <c r="C1744" t="s">
        <v>909</v>
      </c>
      <c r="D1744" s="1" t="str">
        <f>IFERROR(VLOOKUP(A1744,'MLR Data'!$A$2:$D$706,4,0),"")</f>
        <v/>
      </c>
      <c r="E1744" s="5" t="s">
        <v>16</v>
      </c>
    </row>
    <row r="1745" spans="1:5" x14ac:dyDescent="0.3">
      <c r="A1745" t="s">
        <v>1746</v>
      </c>
      <c r="B1745" t="s">
        <v>824</v>
      </c>
      <c r="C1745" t="s">
        <v>913</v>
      </c>
      <c r="D1745" s="1" t="str">
        <f>IFERROR(VLOOKUP(A1745,'MLR Data'!$A$2:$D$706,4,0),"")</f>
        <v/>
      </c>
      <c r="E1745" s="5" t="s">
        <v>4</v>
      </c>
    </row>
    <row r="1746" spans="1:5" x14ac:dyDescent="0.3">
      <c r="A1746" t="s">
        <v>1747</v>
      </c>
      <c r="B1746" t="s">
        <v>824</v>
      </c>
      <c r="C1746" t="s">
        <v>911</v>
      </c>
      <c r="D1746" s="1" t="str">
        <f>IFERROR(VLOOKUP(A1746,'MLR Data'!$A$2:$D$706,4,0),"")</f>
        <v/>
      </c>
      <c r="E1746" s="5" t="s">
        <v>31</v>
      </c>
    </row>
    <row r="1747" spans="1:5" x14ac:dyDescent="0.3">
      <c r="A1747" t="s">
        <v>1748</v>
      </c>
      <c r="B1747" t="s">
        <v>824</v>
      </c>
      <c r="C1747" t="s">
        <v>423</v>
      </c>
      <c r="D1747" s="1" t="str">
        <f>IFERROR(VLOOKUP(A1747,'MLR Data'!$A$2:$D$706,4,0),"")</f>
        <v/>
      </c>
      <c r="E1747" s="5" t="s">
        <v>257</v>
      </c>
    </row>
    <row r="1748" spans="1:5" x14ac:dyDescent="0.3">
      <c r="A1748" t="s">
        <v>1749</v>
      </c>
      <c r="B1748" t="s">
        <v>824</v>
      </c>
      <c r="C1748" t="s">
        <v>424</v>
      </c>
      <c r="D1748" s="1" t="str">
        <f>IFERROR(VLOOKUP(A1748,'MLR Data'!$A$2:$D$706,4,0),"")</f>
        <v/>
      </c>
      <c r="E1748" s="5" t="s">
        <v>257</v>
      </c>
    </row>
    <row r="1749" spans="1:5" x14ac:dyDescent="0.3">
      <c r="A1749" t="s">
        <v>1750</v>
      </c>
      <c r="B1749" t="s">
        <v>824</v>
      </c>
      <c r="C1749" t="s">
        <v>451</v>
      </c>
      <c r="D1749" s="1" t="str">
        <f>IFERROR(VLOOKUP(A1749,'MLR Data'!$A$2:$D$706,4,0),"")</f>
        <v/>
      </c>
    </row>
    <row r="1750" spans="1:5" x14ac:dyDescent="0.3">
      <c r="A1750" t="s">
        <v>1751</v>
      </c>
      <c r="B1750" t="s">
        <v>824</v>
      </c>
      <c r="C1750" t="s">
        <v>724</v>
      </c>
      <c r="D1750" s="1" t="str">
        <f>IFERROR(VLOOKUP(A1750,'MLR Data'!$A$2:$D$706,4,0),"")</f>
        <v/>
      </c>
    </row>
    <row r="1751" spans="1:5" x14ac:dyDescent="0.3">
      <c r="A1751" t="s">
        <v>1752</v>
      </c>
      <c r="B1751" t="s">
        <v>824</v>
      </c>
      <c r="C1751" t="s">
        <v>263</v>
      </c>
      <c r="D1751" s="1" t="str">
        <f>IFERROR(VLOOKUP(A1751,'MLR Data'!$A$2:$D$706,4,0),"")</f>
        <v>Providence Health Plan</v>
      </c>
      <c r="E1751" s="5" t="s">
        <v>263</v>
      </c>
    </row>
    <row r="1752" spans="1:5" x14ac:dyDescent="0.3">
      <c r="A1752" t="s">
        <v>1753</v>
      </c>
      <c r="B1752" t="s">
        <v>824</v>
      </c>
      <c r="C1752" t="s">
        <v>13</v>
      </c>
      <c r="D1752" s="1" t="str">
        <f>IFERROR(VLOOKUP(A1752,'MLR Data'!$A$2:$D$706,4,0),"")</f>
        <v/>
      </c>
      <c r="E1752" s="5" t="s">
        <v>15</v>
      </c>
    </row>
    <row r="1753" spans="1:5" x14ac:dyDescent="0.3">
      <c r="A1753" t="s">
        <v>1754</v>
      </c>
      <c r="B1753" t="s">
        <v>824</v>
      </c>
      <c r="C1753" t="s">
        <v>31</v>
      </c>
      <c r="D1753" s="1" t="str">
        <f>IFERROR(VLOOKUP(A1753,'MLR Data'!$A$2:$D$706,4,0),"")</f>
        <v>Sierra Health and Life Insurance Company, Inc.</v>
      </c>
      <c r="E1753" s="5" t="s">
        <v>31</v>
      </c>
    </row>
    <row r="1754" spans="1:5" x14ac:dyDescent="0.3">
      <c r="A1754" t="s">
        <v>1755</v>
      </c>
      <c r="B1754" t="s">
        <v>824</v>
      </c>
      <c r="C1754" t="s">
        <v>383</v>
      </c>
      <c r="D1754" s="1" t="str">
        <f>IFERROR(VLOOKUP(A1754,'MLR Data'!$A$2:$D$706,4,0),"")</f>
        <v/>
      </c>
    </row>
    <row r="1755" spans="1:5" x14ac:dyDescent="0.3">
      <c r="A1755" t="s">
        <v>1756</v>
      </c>
      <c r="B1755" t="s">
        <v>839</v>
      </c>
      <c r="C1755" t="s">
        <v>384</v>
      </c>
      <c r="D1755" s="1" t="str">
        <f>IFERROR(VLOOKUP(A1755,'MLR Data'!$A$2:$D$706,4,0),"")</f>
        <v/>
      </c>
    </row>
    <row r="1756" spans="1:5" x14ac:dyDescent="0.3">
      <c r="A1756" t="s">
        <v>1757</v>
      </c>
      <c r="B1756" t="s">
        <v>839</v>
      </c>
      <c r="C1756" t="s">
        <v>415</v>
      </c>
      <c r="D1756" s="1" t="str">
        <f>IFERROR(VLOOKUP(A1756,'MLR Data'!$A$2:$D$706,4,0),"")</f>
        <v/>
      </c>
      <c r="E1756" s="5" t="s">
        <v>16</v>
      </c>
    </row>
    <row r="1757" spans="1:5" x14ac:dyDescent="0.3">
      <c r="A1757" t="s">
        <v>1758</v>
      </c>
      <c r="B1757" t="s">
        <v>839</v>
      </c>
      <c r="C1757" t="s">
        <v>535</v>
      </c>
      <c r="D1757" s="1" t="str">
        <f>IFERROR(VLOOKUP(A1757,'MLR Data'!$A$2:$D$706,4,0),"")</f>
        <v/>
      </c>
    </row>
    <row r="1758" spans="1:5" x14ac:dyDescent="0.3">
      <c r="A1758" t="s">
        <v>1759</v>
      </c>
      <c r="B1758" t="s">
        <v>839</v>
      </c>
      <c r="C1758" t="s">
        <v>911</v>
      </c>
      <c r="D1758" s="1" t="str">
        <f>IFERROR(VLOOKUP(A1758,'MLR Data'!$A$2:$D$706,4,0),"")</f>
        <v/>
      </c>
    </row>
    <row r="1759" spans="1:5" x14ac:dyDescent="0.3">
      <c r="A1759" t="s">
        <v>1760</v>
      </c>
      <c r="B1759" t="s">
        <v>839</v>
      </c>
      <c r="C1759" t="s">
        <v>998</v>
      </c>
      <c r="D1759" s="1" t="str">
        <f>IFERROR(VLOOKUP(A1759,'MLR Data'!$A$2:$D$706,4,0),"")</f>
        <v/>
      </c>
    </row>
    <row r="1760" spans="1:5" x14ac:dyDescent="0.3">
      <c r="A1760" t="s">
        <v>1761</v>
      </c>
      <c r="B1760" t="s">
        <v>839</v>
      </c>
      <c r="C1760" t="s">
        <v>431</v>
      </c>
      <c r="D1760" s="1" t="str">
        <f>IFERROR(VLOOKUP(A1760,'MLR Data'!$A$2:$D$706,4,0),"")</f>
        <v/>
      </c>
    </row>
    <row r="1761" spans="1:5" x14ac:dyDescent="0.3">
      <c r="A1761" t="s">
        <v>1762</v>
      </c>
      <c r="B1761" t="s">
        <v>839</v>
      </c>
      <c r="C1761" t="s">
        <v>909</v>
      </c>
      <c r="D1761" s="1" t="str">
        <f>IFERROR(VLOOKUP(A1761,'MLR Data'!$A$2:$D$706,4,0),"")</f>
        <v/>
      </c>
      <c r="E1761" s="5" t="s">
        <v>16</v>
      </c>
    </row>
    <row r="1762" spans="1:5" x14ac:dyDescent="0.3">
      <c r="A1762" t="s">
        <v>1763</v>
      </c>
      <c r="B1762" t="s">
        <v>839</v>
      </c>
      <c r="C1762" t="s">
        <v>416</v>
      </c>
      <c r="D1762" s="1" t="str">
        <f>IFERROR(VLOOKUP(A1762,'MLR Data'!$A$2:$D$706,4,0),"")</f>
        <v/>
      </c>
    </row>
    <row r="1763" spans="1:5" x14ac:dyDescent="0.3">
      <c r="A1763" t="s">
        <v>1764</v>
      </c>
      <c r="B1763" t="s">
        <v>839</v>
      </c>
      <c r="C1763" t="s">
        <v>526</v>
      </c>
      <c r="D1763" s="1" t="str">
        <f>IFERROR(VLOOKUP(A1763,'MLR Data'!$A$2:$D$706,4,0),"")</f>
        <v/>
      </c>
    </row>
    <row r="1764" spans="1:5" x14ac:dyDescent="0.3">
      <c r="A1764" t="s">
        <v>1765</v>
      </c>
      <c r="B1764" t="s">
        <v>839</v>
      </c>
      <c r="C1764" t="s">
        <v>391</v>
      </c>
      <c r="D1764" s="1" t="str">
        <f>IFERROR(VLOOKUP(A1764,'MLR Data'!$A$2:$D$706,4,0),"")</f>
        <v/>
      </c>
    </row>
    <row r="1765" spans="1:5" x14ac:dyDescent="0.3">
      <c r="A1765" t="s">
        <v>1766</v>
      </c>
      <c r="B1765" t="s">
        <v>839</v>
      </c>
      <c r="C1765" t="s">
        <v>913</v>
      </c>
      <c r="D1765" s="1" t="str">
        <f>IFERROR(VLOOKUP(A1765,'MLR Data'!$A$2:$D$706,4,0),"")</f>
        <v/>
      </c>
      <c r="E1765" s="5" t="s">
        <v>4</v>
      </c>
    </row>
    <row r="1766" spans="1:5" x14ac:dyDescent="0.3">
      <c r="A1766" t="s">
        <v>1767</v>
      </c>
      <c r="B1766" t="s">
        <v>839</v>
      </c>
      <c r="C1766" t="s">
        <v>390</v>
      </c>
      <c r="D1766" s="1" t="str">
        <f>IFERROR(VLOOKUP(A1766,'MLR Data'!$A$2:$D$706,4,0),"")</f>
        <v/>
      </c>
    </row>
    <row r="1767" spans="1:5" x14ac:dyDescent="0.3">
      <c r="A1767" t="s">
        <v>1768</v>
      </c>
      <c r="B1767" t="s">
        <v>839</v>
      </c>
      <c r="C1767" t="s">
        <v>999</v>
      </c>
      <c r="D1767" s="1" t="str">
        <f>IFERROR(VLOOKUP(A1767,'MLR Data'!$A$2:$D$706,4,0),"")</f>
        <v/>
      </c>
    </row>
    <row r="1768" spans="1:5" x14ac:dyDescent="0.3">
      <c r="A1768" t="s">
        <v>1769</v>
      </c>
      <c r="B1768" t="s">
        <v>839</v>
      </c>
      <c r="C1768" t="s">
        <v>368</v>
      </c>
      <c r="D1768" s="1" t="str">
        <f>IFERROR(VLOOKUP(A1768,'MLR Data'!$A$2:$D$706,4,0),"")</f>
        <v/>
      </c>
      <c r="E1768" s="5" t="s">
        <v>20</v>
      </c>
    </row>
    <row r="1769" spans="1:5" x14ac:dyDescent="0.3">
      <c r="A1769" t="s">
        <v>1770</v>
      </c>
      <c r="B1769" t="s">
        <v>830</v>
      </c>
      <c r="C1769" t="s">
        <v>1022</v>
      </c>
      <c r="D1769" s="1" t="str">
        <f>IFERROR(VLOOKUP(A1769,'MLR Data'!$A$2:$D$706,4,0),"")</f>
        <v/>
      </c>
      <c r="E1769" s="5" t="s">
        <v>356</v>
      </c>
    </row>
    <row r="1770" spans="1:5" x14ac:dyDescent="0.3">
      <c r="A1770" t="s">
        <v>1771</v>
      </c>
      <c r="B1770" t="s">
        <v>830</v>
      </c>
      <c r="C1770" t="s">
        <v>431</v>
      </c>
      <c r="D1770" s="1" t="str">
        <f>IFERROR(VLOOKUP(A1770,'MLR Data'!$A$2:$D$706,4,0),"")</f>
        <v/>
      </c>
    </row>
    <row r="1771" spans="1:5" x14ac:dyDescent="0.3">
      <c r="A1771" t="s">
        <v>1772</v>
      </c>
      <c r="B1771" t="s">
        <v>830</v>
      </c>
      <c r="C1771" t="s">
        <v>391</v>
      </c>
      <c r="D1771" s="1" t="str">
        <f>IFERROR(VLOOKUP(A1771,'MLR Data'!$A$2:$D$706,4,0),"")</f>
        <v/>
      </c>
    </row>
    <row r="1772" spans="1:5" x14ac:dyDescent="0.3">
      <c r="A1772" t="s">
        <v>1773</v>
      </c>
      <c r="B1772" t="s">
        <v>830</v>
      </c>
      <c r="C1772" t="s">
        <v>1023</v>
      </c>
      <c r="D1772" s="1" t="str">
        <f>IFERROR(VLOOKUP(A1772,'MLR Data'!$A$2:$D$706,4,0),"")</f>
        <v/>
      </c>
      <c r="E1772" s="5" t="s">
        <v>353</v>
      </c>
    </row>
    <row r="1773" spans="1:5" x14ac:dyDescent="0.3">
      <c r="A1773" t="s">
        <v>1774</v>
      </c>
      <c r="B1773" t="s">
        <v>830</v>
      </c>
      <c r="C1773" t="s">
        <v>1024</v>
      </c>
      <c r="D1773" s="1" t="str">
        <f>IFERROR(VLOOKUP(A1773,'MLR Data'!$A$2:$D$706,4,0),"")</f>
        <v/>
      </c>
      <c r="E1773" s="5" t="s">
        <v>846</v>
      </c>
    </row>
    <row r="1774" spans="1:5" x14ac:dyDescent="0.3">
      <c r="A1774" t="s">
        <v>1775</v>
      </c>
      <c r="B1774" t="s">
        <v>830</v>
      </c>
      <c r="C1774" t="s">
        <v>910</v>
      </c>
      <c r="D1774" s="1" t="str">
        <f>IFERROR(VLOOKUP(A1774,'MLR Data'!$A$2:$D$706,4,0),"")</f>
        <v/>
      </c>
    </row>
    <row r="1775" spans="1:5" x14ac:dyDescent="0.3">
      <c r="A1775" t="s">
        <v>1776</v>
      </c>
      <c r="B1775" t="s">
        <v>830</v>
      </c>
      <c r="C1775" t="s">
        <v>535</v>
      </c>
      <c r="D1775" s="1" t="str">
        <f>IFERROR(VLOOKUP(A1775,'MLR Data'!$A$2:$D$706,4,0),"")</f>
        <v/>
      </c>
    </row>
    <row r="1776" spans="1:5" x14ac:dyDescent="0.3">
      <c r="A1776" t="s">
        <v>1777</v>
      </c>
      <c r="B1776" t="s">
        <v>830</v>
      </c>
      <c r="C1776" t="s">
        <v>381</v>
      </c>
      <c r="D1776" s="1" t="str">
        <f>IFERROR(VLOOKUP(A1776,'MLR Data'!$A$2:$D$706,4,0),"")</f>
        <v/>
      </c>
    </row>
    <row r="1777" spans="1:5" x14ac:dyDescent="0.3">
      <c r="A1777" t="s">
        <v>1778</v>
      </c>
      <c r="B1777" t="s">
        <v>830</v>
      </c>
      <c r="C1777" t="s">
        <v>1025</v>
      </c>
      <c r="D1777" s="1" t="str">
        <f>IFERROR(VLOOKUP(A1777,'MLR Data'!$A$2:$D$706,4,0),"")</f>
        <v/>
      </c>
    </row>
    <row r="1778" spans="1:5" x14ac:dyDescent="0.3">
      <c r="A1778" t="s">
        <v>1779</v>
      </c>
      <c r="B1778" t="s">
        <v>830</v>
      </c>
      <c r="C1778" t="s">
        <v>913</v>
      </c>
      <c r="D1778" s="1" t="str">
        <f>IFERROR(VLOOKUP(A1778,'MLR Data'!$A$2:$D$706,4,0),"")</f>
        <v/>
      </c>
      <c r="E1778" s="5" t="s">
        <v>4</v>
      </c>
    </row>
    <row r="1779" spans="1:5" x14ac:dyDescent="0.3">
      <c r="A1779" t="s">
        <v>1780</v>
      </c>
      <c r="B1779" t="s">
        <v>830</v>
      </c>
      <c r="C1779" t="s">
        <v>1026</v>
      </c>
      <c r="D1779" s="1" t="str">
        <f>IFERROR(VLOOKUP(A1779,'MLR Data'!$A$2:$D$706,4,0),"")</f>
        <v/>
      </c>
      <c r="E1779" s="5" t="s">
        <v>346</v>
      </c>
    </row>
    <row r="1780" spans="1:5" x14ac:dyDescent="0.3">
      <c r="A1780" t="s">
        <v>1781</v>
      </c>
      <c r="B1780" t="s">
        <v>830</v>
      </c>
      <c r="C1780" t="s">
        <v>1027</v>
      </c>
      <c r="D1780" s="1" t="str">
        <f>IFERROR(VLOOKUP(A1780,'MLR Data'!$A$2:$D$706,4,0),"")</f>
        <v/>
      </c>
      <c r="E1780" s="5" t="s">
        <v>359</v>
      </c>
    </row>
    <row r="1781" spans="1:5" x14ac:dyDescent="0.3">
      <c r="A1781" t="s">
        <v>1782</v>
      </c>
      <c r="B1781" t="s">
        <v>830</v>
      </c>
      <c r="C1781" t="s">
        <v>1028</v>
      </c>
      <c r="D1781" s="1" t="str">
        <f>IFERROR(VLOOKUP(A1781,'MLR Data'!$A$2:$D$706,4,0),"")</f>
        <v/>
      </c>
      <c r="E1781" s="5" t="s">
        <v>356</v>
      </c>
    </row>
    <row r="1782" spans="1:5" x14ac:dyDescent="0.3">
      <c r="A1782" t="s">
        <v>1783</v>
      </c>
      <c r="B1782" t="s">
        <v>830</v>
      </c>
      <c r="C1782" t="s">
        <v>1029</v>
      </c>
      <c r="D1782" s="1" t="str">
        <f>IFERROR(VLOOKUP(A1782,'MLR Data'!$A$2:$D$706,4,0),"")</f>
        <v/>
      </c>
      <c r="E1782" s="5" t="s">
        <v>356</v>
      </c>
    </row>
    <row r="1783" spans="1:5" x14ac:dyDescent="0.3">
      <c r="A1783" t="s">
        <v>1784</v>
      </c>
      <c r="B1783" t="s">
        <v>830</v>
      </c>
      <c r="C1783" t="s">
        <v>861</v>
      </c>
      <c r="D1783" s="1" t="str">
        <f>IFERROR(VLOOKUP(A1783,'MLR Data'!$A$2:$D$706,4,0),"")</f>
        <v/>
      </c>
      <c r="E1783" s="5" t="s">
        <v>352</v>
      </c>
    </row>
    <row r="1784" spans="1:5" x14ac:dyDescent="0.3">
      <c r="A1784" t="s">
        <v>1785</v>
      </c>
      <c r="B1784" t="s">
        <v>830</v>
      </c>
      <c r="C1784" t="s">
        <v>1030</v>
      </c>
      <c r="D1784" s="1" t="str">
        <f>IFERROR(VLOOKUP(A1784,'MLR Data'!$A$2:$D$706,4,0),"")</f>
        <v/>
      </c>
    </row>
    <row r="1785" spans="1:5" x14ac:dyDescent="0.3">
      <c r="A1785" t="s">
        <v>1786</v>
      </c>
      <c r="B1785" t="s">
        <v>830</v>
      </c>
      <c r="C1785" t="s">
        <v>966</v>
      </c>
      <c r="D1785" s="1" t="str">
        <f>IFERROR(VLOOKUP(A1785,'MLR Data'!$A$2:$D$706,4,0),"")</f>
        <v/>
      </c>
      <c r="E1785" s="5" t="s">
        <v>352</v>
      </c>
    </row>
    <row r="1786" spans="1:5" x14ac:dyDescent="0.3">
      <c r="A1786" t="s">
        <v>1787</v>
      </c>
      <c r="B1786" t="s">
        <v>830</v>
      </c>
      <c r="C1786" t="s">
        <v>1031</v>
      </c>
      <c r="D1786" s="1" t="str">
        <f>IFERROR(VLOOKUP(A1786,'MLR Data'!$A$2:$D$706,4,0),"")</f>
        <v/>
      </c>
      <c r="E1786" s="5" t="s">
        <v>846</v>
      </c>
    </row>
    <row r="1787" spans="1:5" x14ac:dyDescent="0.3">
      <c r="A1787" t="s">
        <v>1788</v>
      </c>
      <c r="B1787" t="s">
        <v>830</v>
      </c>
      <c r="C1787" t="s">
        <v>1032</v>
      </c>
      <c r="D1787" s="1" t="str">
        <f>IFERROR(VLOOKUP(A1787,'MLR Data'!$A$2:$D$706,4,0),"")</f>
        <v/>
      </c>
    </row>
    <row r="1788" spans="1:5" x14ac:dyDescent="0.3">
      <c r="A1788" t="s">
        <v>1789</v>
      </c>
      <c r="B1788" t="s">
        <v>830</v>
      </c>
      <c r="C1788" t="s">
        <v>385</v>
      </c>
      <c r="D1788" s="1" t="str">
        <f>IFERROR(VLOOKUP(A1788,'MLR Data'!$A$2:$D$706,4,0),"")</f>
        <v/>
      </c>
    </row>
    <row r="1789" spans="1:5" x14ac:dyDescent="0.3">
      <c r="A1789" t="s">
        <v>1790</v>
      </c>
      <c r="B1789" t="s">
        <v>830</v>
      </c>
      <c r="C1789" t="s">
        <v>1033</v>
      </c>
      <c r="D1789" s="1" t="str">
        <f>IFERROR(VLOOKUP(A1789,'MLR Data'!$A$2:$D$706,4,0),"")</f>
        <v/>
      </c>
      <c r="E1789" s="5" t="s">
        <v>354</v>
      </c>
    </row>
    <row r="1790" spans="1:5" x14ac:dyDescent="0.3">
      <c r="A1790" t="s">
        <v>1791</v>
      </c>
      <c r="B1790" t="s">
        <v>842</v>
      </c>
      <c r="C1790" t="s">
        <v>469</v>
      </c>
      <c r="D1790" s="1" t="str">
        <f>IFERROR(VLOOKUP(A1790,'MLR Data'!$A$2:$D$706,4,0),"")</f>
        <v/>
      </c>
    </row>
    <row r="1791" spans="1:5" x14ac:dyDescent="0.3">
      <c r="A1791" t="s">
        <v>1792</v>
      </c>
      <c r="B1791" t="s">
        <v>842</v>
      </c>
      <c r="C1791" t="s">
        <v>535</v>
      </c>
      <c r="D1791" s="1" t="str">
        <f>IFERROR(VLOOKUP(A1791,'MLR Data'!$A$2:$D$706,4,0),"")</f>
        <v/>
      </c>
    </row>
    <row r="1792" spans="1:5" x14ac:dyDescent="0.3">
      <c r="A1792" t="s">
        <v>1793</v>
      </c>
      <c r="B1792" t="s">
        <v>842</v>
      </c>
      <c r="C1792" t="s">
        <v>391</v>
      </c>
      <c r="D1792" s="1" t="str">
        <f>IFERROR(VLOOKUP(A1792,'MLR Data'!$A$2:$D$706,4,0),"")</f>
        <v/>
      </c>
    </row>
    <row r="1793" spans="1:5" x14ac:dyDescent="0.3">
      <c r="A1793" t="s">
        <v>1794</v>
      </c>
      <c r="B1793" t="s">
        <v>842</v>
      </c>
      <c r="C1793" t="s">
        <v>381</v>
      </c>
      <c r="D1793" s="1" t="str">
        <f>IFERROR(VLOOKUP(A1793,'MLR Data'!$A$2:$D$706,4,0),"")</f>
        <v/>
      </c>
    </row>
    <row r="1794" spans="1:5" x14ac:dyDescent="0.3">
      <c r="A1794" t="s">
        <v>1795</v>
      </c>
      <c r="B1794" t="s">
        <v>842</v>
      </c>
      <c r="C1794" t="s">
        <v>415</v>
      </c>
      <c r="D1794" s="1" t="str">
        <f>IFERROR(VLOOKUP(A1794,'MLR Data'!$A$2:$D$706,4,0),"")</f>
        <v/>
      </c>
      <c r="E1794" s="5"/>
    </row>
    <row r="1795" spans="1:5" x14ac:dyDescent="0.3">
      <c r="A1795" t="s">
        <v>1796</v>
      </c>
      <c r="B1795" t="s">
        <v>842</v>
      </c>
      <c r="C1795" t="s">
        <v>364</v>
      </c>
      <c r="D1795" s="1" t="str">
        <f>IFERROR(VLOOKUP(A1795,'MLR Data'!$A$2:$D$706,4,0),"")</f>
        <v>Blue Cross Blue Shield of Wyoming</v>
      </c>
      <c r="E1795" s="5" t="s">
        <v>364</v>
      </c>
    </row>
    <row r="1796" spans="1:5" x14ac:dyDescent="0.3">
      <c r="A1796" t="s">
        <v>1797</v>
      </c>
      <c r="B1796" t="s">
        <v>842</v>
      </c>
      <c r="C1796" t="s">
        <v>390</v>
      </c>
      <c r="D1796" s="1" t="str">
        <f>IFERROR(VLOOKUP(A1796,'MLR Data'!$A$2:$D$706,4,0),"")</f>
        <v/>
      </c>
    </row>
    <row r="1797" spans="1:5" x14ac:dyDescent="0.3">
      <c r="A1797" t="s">
        <v>1798</v>
      </c>
      <c r="B1797" t="s">
        <v>842</v>
      </c>
      <c r="C1797" t="s">
        <v>913</v>
      </c>
      <c r="D1797" s="1" t="str">
        <f>IFERROR(VLOOKUP(A1797,'MLR Data'!$A$2:$D$706,4,0),"")</f>
        <v/>
      </c>
    </row>
    <row r="1798" spans="1:5" x14ac:dyDescent="0.3">
      <c r="A1798" t="s">
        <v>1799</v>
      </c>
      <c r="B1798" t="s">
        <v>842</v>
      </c>
      <c r="C1798" t="s">
        <v>909</v>
      </c>
      <c r="D1798" s="1" t="str">
        <f>IFERROR(VLOOKUP(A1798,'MLR Data'!$A$2:$D$706,4,0),"")</f>
        <v/>
      </c>
    </row>
    <row r="1799" spans="1:5" x14ac:dyDescent="0.3">
      <c r="A1799" t="s">
        <v>1800</v>
      </c>
      <c r="B1799" t="s">
        <v>842</v>
      </c>
      <c r="C1799" t="s">
        <v>387</v>
      </c>
      <c r="D1799" s="1" t="str">
        <f>IFERROR(VLOOKUP(A1799,'MLR Data'!$A$2:$D$706,4,0),"")</f>
        <v/>
      </c>
      <c r="E1799" s="5" t="s">
        <v>4</v>
      </c>
    </row>
    <row r="1800" spans="1:5" x14ac:dyDescent="0.3">
      <c r="A1800" t="s">
        <v>1801</v>
      </c>
      <c r="B1800" t="s">
        <v>842</v>
      </c>
      <c r="C1800" t="s">
        <v>478</v>
      </c>
      <c r="D1800" s="1" t="str">
        <f>IFERROR(VLOOKUP(A1800,'MLR Data'!$A$2:$D$706,4,0),"")</f>
        <v/>
      </c>
      <c r="E1800" s="5" t="s">
        <v>20</v>
      </c>
    </row>
    <row r="1801" spans="1:5" x14ac:dyDescent="0.3">
      <c r="A1801" t="s">
        <v>1802</v>
      </c>
      <c r="B1801" t="s">
        <v>842</v>
      </c>
      <c r="C1801" t="s">
        <v>815</v>
      </c>
      <c r="D1801" s="1" t="str">
        <f>IFERROR(VLOOKUP(A1801,'MLR Data'!$A$2:$D$706,4,0),"")</f>
        <v/>
      </c>
    </row>
    <row r="1802" spans="1:5" x14ac:dyDescent="0.3">
      <c r="A1802" t="s">
        <v>1803</v>
      </c>
      <c r="B1802" t="s">
        <v>842</v>
      </c>
      <c r="C1802" t="s">
        <v>407</v>
      </c>
      <c r="D1802" s="1" t="str">
        <f>IFERROR(VLOOKUP(A1802,'MLR Data'!$A$2:$D$706,4,0),"")</f>
        <v/>
      </c>
      <c r="E1802" s="5" t="s">
        <v>4</v>
      </c>
    </row>
  </sheetData>
  <autoFilter ref="B1:E180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6"/>
  <sheetViews>
    <sheetView workbookViewId="0">
      <pane ySplit="1" topLeftCell="A2" activePane="bottomLeft" state="frozen"/>
      <selection pane="bottomLeft" activeCell="D4" sqref="D4"/>
    </sheetView>
  </sheetViews>
  <sheetFormatPr defaultRowHeight="13.2" outlineLevelCol="1" x14ac:dyDescent="0.25"/>
  <cols>
    <col min="1" max="1" width="56.109375" style="1" hidden="1" customWidth="1" outlineLevel="1"/>
    <col min="2" max="2" width="17.33203125" style="1" hidden="1" customWidth="1" outlineLevel="1"/>
    <col min="3" max="3" width="17.33203125" style="1" customWidth="1" collapsed="1"/>
    <col min="4" max="4" width="52.77734375" style="1" bestFit="1" customWidth="1"/>
    <col min="5" max="5" width="44.44140625" style="1" bestFit="1" customWidth="1"/>
    <col min="6" max="6" width="15.5546875" style="1" bestFit="1" customWidth="1"/>
    <col min="7" max="16384" width="8.88671875" style="1"/>
  </cols>
  <sheetData>
    <row r="1" spans="1:6" x14ac:dyDescent="0.25">
      <c r="A1" s="1" t="s">
        <v>851</v>
      </c>
      <c r="B1" s="2" t="s">
        <v>0</v>
      </c>
      <c r="C1" s="2" t="s">
        <v>850</v>
      </c>
      <c r="D1" s="2" t="s">
        <v>1</v>
      </c>
      <c r="E1" s="2" t="s">
        <v>2</v>
      </c>
      <c r="F1" s="2"/>
    </row>
    <row r="2" spans="1:6" x14ac:dyDescent="0.25">
      <c r="A2" s="1" t="str">
        <f>C2&amp;" "&amp;D2</f>
        <v>AL Aetna Life Insurance Company</v>
      </c>
      <c r="B2" s="1" t="s">
        <v>3</v>
      </c>
      <c r="C2" s="1" t="s">
        <v>367</v>
      </c>
      <c r="D2" s="1" t="s">
        <v>4</v>
      </c>
      <c r="E2" s="1" t="s">
        <v>5</v>
      </c>
    </row>
    <row r="3" spans="1:6" x14ac:dyDescent="0.25">
      <c r="A3" s="1" t="str">
        <f t="shared" ref="A3:A66" si="0">C3&amp;" "&amp;D3</f>
        <v>AL Blue Cross and Blue Shield of Alabama</v>
      </c>
      <c r="B3" s="1" t="s">
        <v>3</v>
      </c>
      <c r="C3" s="1" t="s">
        <v>367</v>
      </c>
      <c r="D3" s="1" t="s">
        <v>6</v>
      </c>
      <c r="E3" s="1" t="s">
        <v>6</v>
      </c>
    </row>
    <row r="4" spans="1:6" x14ac:dyDescent="0.25">
      <c r="A4" s="1" t="str">
        <f t="shared" si="0"/>
        <v>AL Celtic Insurance Company</v>
      </c>
      <c r="B4" s="1" t="s">
        <v>3</v>
      </c>
      <c r="C4" s="1" t="s">
        <v>367</v>
      </c>
      <c r="D4" s="1" t="s">
        <v>7</v>
      </c>
      <c r="E4" s="1" t="s">
        <v>8</v>
      </c>
    </row>
    <row r="5" spans="1:6" x14ac:dyDescent="0.25">
      <c r="A5" s="1" t="str">
        <f t="shared" si="0"/>
        <v>AL Connecticut General Life Insurance Company</v>
      </c>
      <c r="B5" s="1" t="s">
        <v>3</v>
      </c>
      <c r="C5" s="1" t="s">
        <v>367</v>
      </c>
      <c r="D5" s="1" t="s">
        <v>9</v>
      </c>
      <c r="E5" s="1" t="s">
        <v>10</v>
      </c>
    </row>
    <row r="6" spans="1:6" x14ac:dyDescent="0.25">
      <c r="A6" s="1" t="str">
        <f t="shared" si="0"/>
        <v>AL HealthSpring of Alabama, Inc.</v>
      </c>
      <c r="B6" s="1" t="s">
        <v>3</v>
      </c>
      <c r="C6" s="1" t="s">
        <v>367</v>
      </c>
      <c r="D6" s="1" t="s">
        <v>11</v>
      </c>
      <c r="E6" s="1" t="s">
        <v>12</v>
      </c>
    </row>
    <row r="7" spans="1:6" x14ac:dyDescent="0.25">
      <c r="A7" s="1" t="str">
        <f t="shared" si="0"/>
        <v>AL Humana Health Plan, Inc.</v>
      </c>
      <c r="B7" s="1" t="s">
        <v>3</v>
      </c>
      <c r="C7" s="1" t="s">
        <v>367</v>
      </c>
      <c r="D7" s="1" t="s">
        <v>13</v>
      </c>
      <c r="E7" s="1" t="s">
        <v>14</v>
      </c>
    </row>
    <row r="8" spans="1:6" x14ac:dyDescent="0.25">
      <c r="A8" s="1" t="str">
        <f t="shared" si="0"/>
        <v>AL Humana Insurance Company, Inc.</v>
      </c>
      <c r="B8" s="1" t="s">
        <v>3</v>
      </c>
      <c r="C8" s="1" t="s">
        <v>367</v>
      </c>
      <c r="D8" s="1" t="s">
        <v>15</v>
      </c>
      <c r="E8" s="1" t="s">
        <v>14</v>
      </c>
    </row>
    <row r="9" spans="1:6" x14ac:dyDescent="0.25">
      <c r="A9" s="1" t="str">
        <f t="shared" si="0"/>
        <v>AL PacifiCare Life and Health Insurance Co</v>
      </c>
      <c r="B9" s="1" t="s">
        <v>3</v>
      </c>
      <c r="C9" s="1" t="s">
        <v>367</v>
      </c>
      <c r="D9" s="1" t="s">
        <v>66</v>
      </c>
      <c r="E9" s="1" t="s">
        <v>32</v>
      </c>
    </row>
    <row r="10" spans="1:6" x14ac:dyDescent="0.25">
      <c r="A10" s="1" t="str">
        <f t="shared" si="0"/>
        <v>AL Sierra Health and Life Insurance Company, Inc.</v>
      </c>
      <c r="B10" s="1" t="s">
        <v>3</v>
      </c>
      <c r="C10" s="1" t="s">
        <v>367</v>
      </c>
      <c r="D10" s="1" t="s">
        <v>31</v>
      </c>
      <c r="E10" s="1" t="s">
        <v>32</v>
      </c>
    </row>
    <row r="11" spans="1:6" x14ac:dyDescent="0.25">
      <c r="A11" s="1" t="str">
        <f t="shared" si="0"/>
        <v>AL UNICARE Life &amp; Health Insurance Company</v>
      </c>
      <c r="B11" s="1" t="s">
        <v>3</v>
      </c>
      <c r="C11" s="1" t="s">
        <v>367</v>
      </c>
      <c r="D11" s="1" t="s">
        <v>16</v>
      </c>
      <c r="E11" s="1" t="s">
        <v>17</v>
      </c>
    </row>
    <row r="12" spans="1:6" x14ac:dyDescent="0.25">
      <c r="A12" s="1" t="str">
        <f t="shared" si="0"/>
        <v>AL United American Insurance Co</v>
      </c>
      <c r="B12" s="1" t="s">
        <v>3</v>
      </c>
      <c r="C12" s="1" t="s">
        <v>367</v>
      </c>
      <c r="D12" s="1" t="s">
        <v>18</v>
      </c>
      <c r="E12" s="1" t="s">
        <v>19</v>
      </c>
    </row>
    <row r="13" spans="1:6" x14ac:dyDescent="0.25">
      <c r="A13" s="1" t="str">
        <f t="shared" si="0"/>
        <v>AL UnitedHealthcare Insurance Company</v>
      </c>
      <c r="B13" s="1" t="s">
        <v>3</v>
      </c>
      <c r="C13" s="1" t="s">
        <v>367</v>
      </c>
      <c r="D13" s="1" t="s">
        <v>20</v>
      </c>
      <c r="E13" s="1" t="s">
        <v>21</v>
      </c>
    </row>
    <row r="14" spans="1:6" x14ac:dyDescent="0.25">
      <c r="A14" s="1" t="str">
        <f t="shared" si="0"/>
        <v>AL UnitedHealthcare of Alabama, Inc</v>
      </c>
      <c r="B14" s="1" t="s">
        <v>3</v>
      </c>
      <c r="C14" s="1" t="s">
        <v>367</v>
      </c>
      <c r="D14" s="1" t="s">
        <v>22</v>
      </c>
      <c r="E14" s="1" t="s">
        <v>21</v>
      </c>
    </row>
    <row r="15" spans="1:6" x14ac:dyDescent="0.25">
      <c r="A15" s="1" t="str">
        <f t="shared" si="0"/>
        <v>AL VIVA Health, Inc.</v>
      </c>
      <c r="B15" s="1" t="s">
        <v>3</v>
      </c>
      <c r="C15" s="1" t="s">
        <v>367</v>
      </c>
      <c r="D15" s="1" t="s">
        <v>23</v>
      </c>
    </row>
    <row r="16" spans="1:6" x14ac:dyDescent="0.25">
      <c r="A16" s="1" t="str">
        <f t="shared" si="0"/>
        <v>AK Aetna Life Insurance Company</v>
      </c>
      <c r="B16" s="1" t="s">
        <v>24</v>
      </c>
      <c r="C16" s="1" t="s">
        <v>849</v>
      </c>
      <c r="D16" s="1" t="s">
        <v>4</v>
      </c>
      <c r="E16" s="1" t="s">
        <v>5</v>
      </c>
    </row>
    <row r="17" spans="1:5" x14ac:dyDescent="0.25">
      <c r="A17" s="1" t="str">
        <f t="shared" si="0"/>
        <v>AK Connecticut General Life Insurance Company</v>
      </c>
      <c r="B17" s="1" t="s">
        <v>24</v>
      </c>
      <c r="C17" s="1" t="s">
        <v>849</v>
      </c>
      <c r="D17" s="1" t="s">
        <v>9</v>
      </c>
      <c r="E17" s="1" t="s">
        <v>10</v>
      </c>
    </row>
    <row r="18" spans="1:5" x14ac:dyDescent="0.25">
      <c r="A18" s="1" t="str">
        <f t="shared" si="0"/>
        <v>AK Humana Insurance Company, Inc.</v>
      </c>
      <c r="B18" s="1" t="s">
        <v>24</v>
      </c>
      <c r="C18" s="1" t="s">
        <v>849</v>
      </c>
      <c r="D18" s="1" t="s">
        <v>15</v>
      </c>
      <c r="E18" s="1" t="s">
        <v>14</v>
      </c>
    </row>
    <row r="19" spans="1:5" x14ac:dyDescent="0.25">
      <c r="A19" s="1" t="str">
        <f t="shared" si="0"/>
        <v>AK United American Insurance Co</v>
      </c>
      <c r="B19" s="1" t="s">
        <v>24</v>
      </c>
      <c r="C19" s="1" t="s">
        <v>849</v>
      </c>
      <c r="D19" s="1" t="s">
        <v>18</v>
      </c>
      <c r="E19" s="1" t="s">
        <v>19</v>
      </c>
    </row>
    <row r="20" spans="1:5" x14ac:dyDescent="0.25">
      <c r="A20" s="1" t="str">
        <f t="shared" si="0"/>
        <v>AK UnitedHealthcare Insurance Company</v>
      </c>
      <c r="B20" s="1" t="s">
        <v>24</v>
      </c>
      <c r="C20" s="1" t="s">
        <v>849</v>
      </c>
      <c r="D20" s="1" t="s">
        <v>20</v>
      </c>
      <c r="E20" s="1" t="s">
        <v>21</v>
      </c>
    </row>
    <row r="21" spans="1:5" x14ac:dyDescent="0.25">
      <c r="A21" s="1" t="str">
        <f t="shared" si="0"/>
        <v>AZ Aetna Health Inc. (a Pennsylvania corporation)</v>
      </c>
      <c r="B21" s="1" t="s">
        <v>25</v>
      </c>
      <c r="C21" s="1" t="s">
        <v>388</v>
      </c>
      <c r="D21" s="1" t="s">
        <v>26</v>
      </c>
      <c r="E21" s="1" t="s">
        <v>5</v>
      </c>
    </row>
    <row r="22" spans="1:5" x14ac:dyDescent="0.25">
      <c r="A22" s="1" t="str">
        <f t="shared" si="0"/>
        <v>AZ Aetna Life Insurance Company</v>
      </c>
      <c r="B22" s="1" t="s">
        <v>25</v>
      </c>
      <c r="C22" s="1" t="s">
        <v>388</v>
      </c>
      <c r="D22" s="1" t="s">
        <v>4</v>
      </c>
      <c r="E22" s="1" t="s">
        <v>5</v>
      </c>
    </row>
    <row r="23" spans="1:5" x14ac:dyDescent="0.25">
      <c r="A23" s="1" t="str">
        <f t="shared" si="0"/>
        <v>AZ Celtic Insurance Company</v>
      </c>
      <c r="B23" s="1" t="s">
        <v>25</v>
      </c>
      <c r="C23" s="1" t="s">
        <v>388</v>
      </c>
      <c r="D23" s="1" t="s">
        <v>7</v>
      </c>
      <c r="E23" s="1" t="s">
        <v>8</v>
      </c>
    </row>
    <row r="24" spans="1:5" x14ac:dyDescent="0.25">
      <c r="A24" s="1" t="str">
        <f t="shared" si="0"/>
        <v>AZ Cigna HealthCare of Arizona, Inc.</v>
      </c>
      <c r="B24" s="1" t="s">
        <v>25</v>
      </c>
      <c r="C24" s="1" t="s">
        <v>388</v>
      </c>
      <c r="D24" s="1" t="s">
        <v>27</v>
      </c>
      <c r="E24" s="1" t="s">
        <v>10</v>
      </c>
    </row>
    <row r="25" spans="1:5" x14ac:dyDescent="0.25">
      <c r="A25" s="1" t="str">
        <f t="shared" si="0"/>
        <v>AZ Connecticut General Life Insurance Company</v>
      </c>
      <c r="B25" s="1" t="s">
        <v>25</v>
      </c>
      <c r="C25" s="1" t="s">
        <v>388</v>
      </c>
      <c r="D25" s="1" t="s">
        <v>9</v>
      </c>
      <c r="E25" s="1" t="s">
        <v>10</v>
      </c>
    </row>
    <row r="26" spans="1:5" x14ac:dyDescent="0.25">
      <c r="A26" s="1" t="str">
        <f t="shared" si="0"/>
        <v>AZ Health Net Life Insurance Company</v>
      </c>
      <c r="B26" s="1" t="s">
        <v>25</v>
      </c>
      <c r="C26" s="1" t="s">
        <v>388</v>
      </c>
      <c r="D26" s="1" t="s">
        <v>28</v>
      </c>
      <c r="E26" s="1" t="s">
        <v>29</v>
      </c>
    </row>
    <row r="27" spans="1:5" x14ac:dyDescent="0.25">
      <c r="A27" s="1" t="str">
        <f t="shared" si="0"/>
        <v>AZ Health Net of Arizona, Inc</v>
      </c>
      <c r="B27" s="1" t="s">
        <v>25</v>
      </c>
      <c r="C27" s="1" t="s">
        <v>388</v>
      </c>
      <c r="D27" s="1" t="s">
        <v>30</v>
      </c>
      <c r="E27" s="1" t="s">
        <v>29</v>
      </c>
    </row>
    <row r="28" spans="1:5" x14ac:dyDescent="0.25">
      <c r="A28" s="1" t="str">
        <f t="shared" si="0"/>
        <v>AZ Humana Health Plan, Inc.</v>
      </c>
      <c r="B28" s="1" t="s">
        <v>25</v>
      </c>
      <c r="C28" s="1" t="s">
        <v>388</v>
      </c>
      <c r="D28" s="1" t="s">
        <v>13</v>
      </c>
      <c r="E28" s="1" t="s">
        <v>14</v>
      </c>
    </row>
    <row r="29" spans="1:5" x14ac:dyDescent="0.25">
      <c r="A29" s="1" t="str">
        <f t="shared" si="0"/>
        <v>AZ Humana Insurance Company, Inc.</v>
      </c>
      <c r="B29" s="1" t="s">
        <v>25</v>
      </c>
      <c r="C29" s="1" t="s">
        <v>388</v>
      </c>
      <c r="D29" s="1" t="s">
        <v>15</v>
      </c>
      <c r="E29" s="1" t="s">
        <v>14</v>
      </c>
    </row>
    <row r="30" spans="1:5" x14ac:dyDescent="0.25">
      <c r="A30" s="1" t="str">
        <f t="shared" si="0"/>
        <v>AZ PacifiCare Life and Health Insurance Co</v>
      </c>
      <c r="B30" s="1" t="s">
        <v>25</v>
      </c>
      <c r="C30" s="1" t="s">
        <v>388</v>
      </c>
      <c r="D30" s="1" t="s">
        <v>66</v>
      </c>
      <c r="E30" s="1" t="s">
        <v>32</v>
      </c>
    </row>
    <row r="31" spans="1:5" x14ac:dyDescent="0.25">
      <c r="A31" s="1" t="str">
        <f t="shared" si="0"/>
        <v>AZ Sierra Health and Life Insurance Company, Inc.</v>
      </c>
      <c r="B31" s="1" t="s">
        <v>25</v>
      </c>
      <c r="C31" s="1" t="s">
        <v>388</v>
      </c>
      <c r="D31" s="1" t="s">
        <v>31</v>
      </c>
      <c r="E31" s="1" t="s">
        <v>32</v>
      </c>
    </row>
    <row r="32" spans="1:5" x14ac:dyDescent="0.25">
      <c r="A32" s="1" t="str">
        <f t="shared" si="0"/>
        <v>AZ UNICARE Life &amp; Health Insurance Company</v>
      </c>
      <c r="B32" s="1" t="s">
        <v>25</v>
      </c>
      <c r="C32" s="1" t="s">
        <v>388</v>
      </c>
      <c r="D32" s="1" t="s">
        <v>16</v>
      </c>
      <c r="E32" s="1" t="s">
        <v>17</v>
      </c>
    </row>
    <row r="33" spans="1:5" x14ac:dyDescent="0.25">
      <c r="A33" s="1" t="str">
        <f t="shared" si="0"/>
        <v>AZ United American Insurance Co</v>
      </c>
      <c r="B33" s="1" t="s">
        <v>25</v>
      </c>
      <c r="C33" s="1" t="s">
        <v>388</v>
      </c>
      <c r="D33" s="1" t="s">
        <v>18</v>
      </c>
      <c r="E33" s="1" t="s">
        <v>19</v>
      </c>
    </row>
    <row r="34" spans="1:5" x14ac:dyDescent="0.25">
      <c r="A34" s="1" t="str">
        <f t="shared" si="0"/>
        <v>AZ UnitedHealthcare Insurance Company</v>
      </c>
      <c r="B34" s="1" t="s">
        <v>25</v>
      </c>
      <c r="C34" s="1" t="s">
        <v>388</v>
      </c>
      <c r="D34" s="1" t="s">
        <v>20</v>
      </c>
      <c r="E34" s="1" t="s">
        <v>21</v>
      </c>
    </row>
    <row r="35" spans="1:5" x14ac:dyDescent="0.25">
      <c r="A35" s="1" t="str">
        <f t="shared" si="0"/>
        <v>AZ UnitedHealthcare of Arizona, Inc.</v>
      </c>
      <c r="B35" s="1" t="s">
        <v>25</v>
      </c>
      <c r="C35" s="1" t="s">
        <v>388</v>
      </c>
      <c r="D35" s="1" t="s">
        <v>33</v>
      </c>
      <c r="E35" s="1" t="s">
        <v>21</v>
      </c>
    </row>
    <row r="36" spans="1:5" x14ac:dyDescent="0.25">
      <c r="A36" s="1" t="str">
        <f t="shared" si="0"/>
        <v>AR Aetna Life Insurance Company</v>
      </c>
      <c r="B36" s="1" t="s">
        <v>34</v>
      </c>
      <c r="C36" s="1" t="s">
        <v>376</v>
      </c>
      <c r="D36" s="1" t="s">
        <v>4</v>
      </c>
      <c r="E36" s="1" t="s">
        <v>5</v>
      </c>
    </row>
    <row r="37" spans="1:5" x14ac:dyDescent="0.25">
      <c r="A37" s="1" t="str">
        <f t="shared" si="0"/>
        <v>AR Connecticut General Life Insurance Company</v>
      </c>
      <c r="B37" s="1" t="s">
        <v>34</v>
      </c>
      <c r="C37" s="1" t="s">
        <v>376</v>
      </c>
      <c r="D37" s="1" t="s">
        <v>9</v>
      </c>
      <c r="E37" s="1" t="s">
        <v>10</v>
      </c>
    </row>
    <row r="38" spans="1:5" x14ac:dyDescent="0.25">
      <c r="A38" s="1" t="str">
        <f t="shared" si="0"/>
        <v>AR Coventry Health &amp; Life Insuance Company</v>
      </c>
      <c r="B38" s="1" t="s">
        <v>34</v>
      </c>
      <c r="C38" s="1" t="s">
        <v>376</v>
      </c>
      <c r="D38" s="1" t="s">
        <v>35</v>
      </c>
      <c r="E38" s="1" t="s">
        <v>36</v>
      </c>
    </row>
    <row r="39" spans="1:5" x14ac:dyDescent="0.25">
      <c r="A39" s="1" t="str">
        <f t="shared" si="0"/>
        <v>AR Humana Health Plan, Inc.</v>
      </c>
      <c r="B39" s="1" t="s">
        <v>34</v>
      </c>
      <c r="C39" s="1" t="s">
        <v>376</v>
      </c>
      <c r="D39" s="1" t="s">
        <v>13</v>
      </c>
      <c r="E39" s="1" t="s">
        <v>14</v>
      </c>
    </row>
    <row r="40" spans="1:5" x14ac:dyDescent="0.25">
      <c r="A40" s="1" t="str">
        <f t="shared" si="0"/>
        <v>AR Humana Insurance Company, Inc.</v>
      </c>
      <c r="B40" s="1" t="s">
        <v>34</v>
      </c>
      <c r="C40" s="1" t="s">
        <v>376</v>
      </c>
      <c r="D40" s="1" t="s">
        <v>15</v>
      </c>
      <c r="E40" s="1" t="s">
        <v>14</v>
      </c>
    </row>
    <row r="41" spans="1:5" x14ac:dyDescent="0.25">
      <c r="A41" s="1" t="str">
        <f t="shared" si="0"/>
        <v>AR PacifiCare Life and Health Insurance Co</v>
      </c>
      <c r="B41" s="1" t="s">
        <v>34</v>
      </c>
      <c r="C41" s="1" t="s">
        <v>376</v>
      </c>
      <c r="D41" s="1" t="s">
        <v>66</v>
      </c>
      <c r="E41" s="1" t="s">
        <v>32</v>
      </c>
    </row>
    <row r="42" spans="1:5" x14ac:dyDescent="0.25">
      <c r="A42" s="1" t="str">
        <f t="shared" si="0"/>
        <v>AR UNICARE Life &amp; Health Insurance Company</v>
      </c>
      <c r="B42" s="1" t="s">
        <v>34</v>
      </c>
      <c r="C42" s="1" t="s">
        <v>376</v>
      </c>
      <c r="D42" s="1" t="s">
        <v>16</v>
      </c>
      <c r="E42" s="1" t="s">
        <v>17</v>
      </c>
    </row>
    <row r="43" spans="1:5" x14ac:dyDescent="0.25">
      <c r="A43" s="1" t="str">
        <f t="shared" si="0"/>
        <v>AR United American Insurance Co</v>
      </c>
      <c r="B43" s="1" t="s">
        <v>34</v>
      </c>
      <c r="C43" s="1" t="s">
        <v>376</v>
      </c>
      <c r="D43" s="1" t="s">
        <v>18</v>
      </c>
      <c r="E43" s="1" t="s">
        <v>19</v>
      </c>
    </row>
    <row r="44" spans="1:5" x14ac:dyDescent="0.25">
      <c r="A44" s="1" t="str">
        <f t="shared" si="0"/>
        <v>AR UnitedHealthcare Insurance Company</v>
      </c>
      <c r="B44" s="1" t="s">
        <v>34</v>
      </c>
      <c r="C44" s="1" t="s">
        <v>376</v>
      </c>
      <c r="D44" s="1" t="s">
        <v>20</v>
      </c>
      <c r="E44" s="1" t="s">
        <v>21</v>
      </c>
    </row>
    <row r="45" spans="1:5" x14ac:dyDescent="0.25">
      <c r="A45" s="1" t="str">
        <f t="shared" si="0"/>
        <v>AR UnitedHealthcare of Arkansas, Inc.</v>
      </c>
      <c r="B45" s="1" t="s">
        <v>34</v>
      </c>
      <c r="C45" s="1" t="s">
        <v>376</v>
      </c>
      <c r="D45" s="1" t="s">
        <v>37</v>
      </c>
      <c r="E45" s="1" t="s">
        <v>21</v>
      </c>
    </row>
    <row r="46" spans="1:5" x14ac:dyDescent="0.25">
      <c r="A46" s="1" t="str">
        <f t="shared" si="0"/>
        <v>CA Aetna Health of California Inc.</v>
      </c>
      <c r="B46" s="1" t="s">
        <v>38</v>
      </c>
      <c r="C46" s="1" t="s">
        <v>418</v>
      </c>
      <c r="D46" s="1" t="s">
        <v>39</v>
      </c>
    </row>
    <row r="47" spans="1:5" x14ac:dyDescent="0.25">
      <c r="A47" s="1" t="str">
        <f t="shared" si="0"/>
        <v>CA Aetna Life Insurance Company</v>
      </c>
      <c r="B47" s="1" t="s">
        <v>38</v>
      </c>
      <c r="C47" s="1" t="s">
        <v>418</v>
      </c>
      <c r="D47" s="1" t="s">
        <v>4</v>
      </c>
      <c r="E47" s="1" t="s">
        <v>5</v>
      </c>
    </row>
    <row r="48" spans="1:5" x14ac:dyDescent="0.25">
      <c r="A48" s="1" t="str">
        <f t="shared" si="0"/>
        <v>CA Anthem Blue Cross Life and Health Insurance Company, Inc.</v>
      </c>
      <c r="B48" s="1" t="s">
        <v>38</v>
      </c>
      <c r="C48" s="1" t="s">
        <v>418</v>
      </c>
      <c r="D48" s="1" t="s">
        <v>40</v>
      </c>
      <c r="E48" s="1" t="s">
        <v>41</v>
      </c>
    </row>
    <row r="49" spans="1:5" x14ac:dyDescent="0.25">
      <c r="A49" s="1" t="str">
        <f t="shared" si="0"/>
        <v>CA Blue Cross of California</v>
      </c>
      <c r="B49" s="1" t="s">
        <v>38</v>
      </c>
      <c r="C49" s="1" t="s">
        <v>418</v>
      </c>
      <c r="D49" s="1" t="s">
        <v>42</v>
      </c>
    </row>
    <row r="50" spans="1:5" x14ac:dyDescent="0.25">
      <c r="A50" s="1" t="str">
        <f t="shared" si="0"/>
        <v>CA California Physicians Service</v>
      </c>
      <c r="B50" s="1" t="s">
        <v>38</v>
      </c>
      <c r="C50" s="1" t="s">
        <v>418</v>
      </c>
      <c r="D50" s="1" t="s">
        <v>43</v>
      </c>
      <c r="E50" s="1" t="s">
        <v>44</v>
      </c>
    </row>
    <row r="51" spans="1:5" x14ac:dyDescent="0.25">
      <c r="A51" s="1" t="str">
        <f t="shared" si="0"/>
        <v>CA Celtic Insurance Company</v>
      </c>
      <c r="B51" s="1" t="s">
        <v>38</v>
      </c>
      <c r="C51" s="1" t="s">
        <v>418</v>
      </c>
      <c r="D51" s="1" t="s">
        <v>7</v>
      </c>
      <c r="E51" s="1" t="s">
        <v>8</v>
      </c>
    </row>
    <row r="52" spans="1:5" x14ac:dyDescent="0.25">
      <c r="A52" s="1" t="str">
        <f t="shared" si="0"/>
        <v>CA Chinese Community Health Plan</v>
      </c>
      <c r="B52" s="1" t="s">
        <v>38</v>
      </c>
      <c r="C52" s="1" t="s">
        <v>418</v>
      </c>
      <c r="D52" s="1" t="s">
        <v>45</v>
      </c>
    </row>
    <row r="53" spans="1:5" x14ac:dyDescent="0.25">
      <c r="A53" s="1" t="str">
        <f t="shared" si="0"/>
        <v>CA Connecticut General Life Insurance Company</v>
      </c>
      <c r="B53" s="1" t="s">
        <v>38</v>
      </c>
      <c r="C53" s="1" t="s">
        <v>418</v>
      </c>
      <c r="D53" s="1" t="s">
        <v>9</v>
      </c>
      <c r="E53" s="1" t="s">
        <v>10</v>
      </c>
    </row>
    <row r="54" spans="1:5" x14ac:dyDescent="0.25">
      <c r="A54" s="1" t="str">
        <f t="shared" si="0"/>
        <v>CA County of Ventura, dba Ventura County Health Care Plan</v>
      </c>
      <c r="B54" s="1" t="s">
        <v>38</v>
      </c>
      <c r="C54" s="1" t="s">
        <v>418</v>
      </c>
      <c r="D54" s="1" t="s">
        <v>46</v>
      </c>
    </row>
    <row r="55" spans="1:5" x14ac:dyDescent="0.25">
      <c r="A55" s="1" t="str">
        <f t="shared" si="0"/>
        <v>CA Health Net Life Insurance Company</v>
      </c>
      <c r="B55" s="1" t="s">
        <v>38</v>
      </c>
      <c r="C55" s="1" t="s">
        <v>418</v>
      </c>
      <c r="D55" s="1" t="s">
        <v>28</v>
      </c>
      <c r="E55" s="1" t="s">
        <v>29</v>
      </c>
    </row>
    <row r="56" spans="1:5" x14ac:dyDescent="0.25">
      <c r="A56" s="1" t="str">
        <f t="shared" si="0"/>
        <v>CA Health Net of California, Inc</v>
      </c>
      <c r="B56" s="1" t="s">
        <v>38</v>
      </c>
      <c r="C56" s="1" t="s">
        <v>418</v>
      </c>
      <c r="D56" s="1" t="s">
        <v>47</v>
      </c>
      <c r="E56" s="1" t="s">
        <v>29</v>
      </c>
    </row>
    <row r="57" spans="1:5" x14ac:dyDescent="0.25">
      <c r="A57" s="1" t="str">
        <f t="shared" si="0"/>
        <v>CA Humana Insurance Company, Inc.</v>
      </c>
      <c r="B57" s="1" t="s">
        <v>38</v>
      </c>
      <c r="C57" s="1" t="s">
        <v>418</v>
      </c>
      <c r="D57" s="1" t="s">
        <v>15</v>
      </c>
      <c r="E57" s="1" t="s">
        <v>14</v>
      </c>
    </row>
    <row r="58" spans="1:5" x14ac:dyDescent="0.25">
      <c r="A58" s="1" t="str">
        <f t="shared" si="0"/>
        <v>CA Kaiser Foundation Health Plan, Inc.</v>
      </c>
      <c r="B58" s="1" t="s">
        <v>38</v>
      </c>
      <c r="C58" s="1" t="s">
        <v>418</v>
      </c>
      <c r="D58" s="1" t="s">
        <v>48</v>
      </c>
    </row>
    <row r="59" spans="1:5" x14ac:dyDescent="0.25">
      <c r="A59" s="1" t="str">
        <f t="shared" si="0"/>
        <v>CA PacifiCare Life and Health Insurance Co</v>
      </c>
      <c r="B59" s="1" t="s">
        <v>38</v>
      </c>
      <c r="C59" s="1" t="s">
        <v>418</v>
      </c>
      <c r="D59" s="1" t="s">
        <v>66</v>
      </c>
      <c r="E59" s="1" t="s">
        <v>32</v>
      </c>
    </row>
    <row r="60" spans="1:5" x14ac:dyDescent="0.25">
      <c r="A60" s="1" t="str">
        <f t="shared" si="0"/>
        <v>CA San Mateo Health Commission</v>
      </c>
      <c r="B60" s="1" t="s">
        <v>38</v>
      </c>
      <c r="C60" s="1" t="s">
        <v>418</v>
      </c>
      <c r="D60" s="1" t="s">
        <v>49</v>
      </c>
    </row>
    <row r="61" spans="1:5" x14ac:dyDescent="0.25">
      <c r="A61" s="1" t="str">
        <f t="shared" si="0"/>
        <v>CA Sierra Health and Life Insurance Company, Inc.</v>
      </c>
      <c r="B61" s="1" t="s">
        <v>38</v>
      </c>
      <c r="C61" s="1" t="s">
        <v>418</v>
      </c>
      <c r="D61" s="1" t="s">
        <v>31</v>
      </c>
      <c r="E61" s="1" t="s">
        <v>32</v>
      </c>
    </row>
    <row r="62" spans="1:5" x14ac:dyDescent="0.25">
      <c r="A62" s="1" t="str">
        <f t="shared" si="0"/>
        <v>CA UHC of California</v>
      </c>
      <c r="B62" s="1" t="s">
        <v>38</v>
      </c>
      <c r="C62" s="1" t="s">
        <v>418</v>
      </c>
      <c r="D62" s="1" t="s">
        <v>50</v>
      </c>
    </row>
    <row r="63" spans="1:5" x14ac:dyDescent="0.25">
      <c r="A63" s="1" t="str">
        <f t="shared" si="0"/>
        <v>CA UNICARE Life &amp; Health Insurance Company</v>
      </c>
      <c r="B63" s="1" t="s">
        <v>38</v>
      </c>
      <c r="C63" s="1" t="s">
        <v>418</v>
      </c>
      <c r="D63" s="1" t="s">
        <v>16</v>
      </c>
      <c r="E63" s="1" t="s">
        <v>17</v>
      </c>
    </row>
    <row r="64" spans="1:5" x14ac:dyDescent="0.25">
      <c r="A64" s="1" t="str">
        <f t="shared" si="0"/>
        <v>CA United American Insurance Co</v>
      </c>
      <c r="B64" s="1" t="s">
        <v>38</v>
      </c>
      <c r="C64" s="1" t="s">
        <v>418</v>
      </c>
      <c r="D64" s="1" t="s">
        <v>18</v>
      </c>
      <c r="E64" s="1" t="s">
        <v>19</v>
      </c>
    </row>
    <row r="65" spans="1:5" x14ac:dyDescent="0.25">
      <c r="A65" s="1" t="str">
        <f t="shared" si="0"/>
        <v>CA UnitedHealthcare Insurance Company</v>
      </c>
      <c r="B65" s="1" t="s">
        <v>38</v>
      </c>
      <c r="C65" s="1" t="s">
        <v>418</v>
      </c>
      <c r="D65" s="1" t="s">
        <v>20</v>
      </c>
      <c r="E65" s="1" t="s">
        <v>21</v>
      </c>
    </row>
    <row r="66" spans="1:5" x14ac:dyDescent="0.25">
      <c r="A66" s="1" t="str">
        <f t="shared" si="0"/>
        <v>CO Aetna Health Inc. (a Pennsylvania corporation)</v>
      </c>
      <c r="B66" s="1" t="s">
        <v>51</v>
      </c>
      <c r="C66" s="1" t="s">
        <v>464</v>
      </c>
      <c r="D66" s="1" t="s">
        <v>26</v>
      </c>
      <c r="E66" s="1" t="s">
        <v>5</v>
      </c>
    </row>
    <row r="67" spans="1:5" x14ac:dyDescent="0.25">
      <c r="A67" s="1" t="str">
        <f t="shared" ref="A67:A130" si="1">C67&amp;" "&amp;D67</f>
        <v>CO Aetna Life Insurance Company</v>
      </c>
      <c r="B67" s="1" t="s">
        <v>51</v>
      </c>
      <c r="C67" s="1" t="s">
        <v>464</v>
      </c>
      <c r="D67" s="1" t="s">
        <v>4</v>
      </c>
      <c r="E67" s="1" t="s">
        <v>5</v>
      </c>
    </row>
    <row r="68" spans="1:5" x14ac:dyDescent="0.25">
      <c r="A68" s="1" t="str">
        <f t="shared" si="1"/>
        <v>CO Celtic Insurance Company</v>
      </c>
      <c r="B68" s="1" t="s">
        <v>51</v>
      </c>
      <c r="C68" s="1" t="s">
        <v>464</v>
      </c>
      <c r="D68" s="1" t="s">
        <v>7</v>
      </c>
      <c r="E68" s="1" t="s">
        <v>8</v>
      </c>
    </row>
    <row r="69" spans="1:5" x14ac:dyDescent="0.25">
      <c r="A69" s="1" t="str">
        <f t="shared" si="1"/>
        <v>CO Colorado Choice Health Plans</v>
      </c>
      <c r="B69" s="1" t="s">
        <v>51</v>
      </c>
      <c r="C69" s="1" t="s">
        <v>464</v>
      </c>
      <c r="D69" s="1" t="s">
        <v>52</v>
      </c>
    </row>
    <row r="70" spans="1:5" x14ac:dyDescent="0.25">
      <c r="A70" s="1" t="str">
        <f t="shared" si="1"/>
        <v>CO Connecticut General Life Insurance Company</v>
      </c>
      <c r="B70" s="1" t="s">
        <v>51</v>
      </c>
      <c r="C70" s="1" t="s">
        <v>464</v>
      </c>
      <c r="D70" s="1" t="s">
        <v>9</v>
      </c>
      <c r="E70" s="1" t="s">
        <v>10</v>
      </c>
    </row>
    <row r="71" spans="1:5" x14ac:dyDescent="0.25">
      <c r="A71" s="1" t="str">
        <f t="shared" si="1"/>
        <v>CO Denver Health Medical Plan, Inc.</v>
      </c>
      <c r="B71" s="1" t="s">
        <v>51</v>
      </c>
      <c r="C71" s="1" t="s">
        <v>464</v>
      </c>
      <c r="D71" s="1" t="s">
        <v>53</v>
      </c>
    </row>
    <row r="72" spans="1:5" x14ac:dyDescent="0.25">
      <c r="A72" s="1" t="str">
        <f t="shared" si="1"/>
        <v>CO HMO Colorado, Inc.</v>
      </c>
      <c r="B72" s="1" t="s">
        <v>51</v>
      </c>
      <c r="C72" s="1" t="s">
        <v>464</v>
      </c>
      <c r="D72" s="1" t="s">
        <v>54</v>
      </c>
      <c r="E72" s="1" t="s">
        <v>17</v>
      </c>
    </row>
    <row r="73" spans="1:5" x14ac:dyDescent="0.25">
      <c r="A73" s="1" t="str">
        <f t="shared" si="1"/>
        <v>CO Humana Health Plan, Inc.</v>
      </c>
      <c r="B73" s="1" t="s">
        <v>51</v>
      </c>
      <c r="C73" s="1" t="s">
        <v>464</v>
      </c>
      <c r="D73" s="1" t="s">
        <v>13</v>
      </c>
      <c r="E73" s="1" t="s">
        <v>14</v>
      </c>
    </row>
    <row r="74" spans="1:5" x14ac:dyDescent="0.25">
      <c r="A74" s="1" t="str">
        <f t="shared" si="1"/>
        <v>CO Humana Insurance Company, Inc.</v>
      </c>
      <c r="B74" s="1" t="s">
        <v>51</v>
      </c>
      <c r="C74" s="1" t="s">
        <v>464</v>
      </c>
      <c r="D74" s="1" t="s">
        <v>15</v>
      </c>
      <c r="E74" s="1" t="s">
        <v>14</v>
      </c>
    </row>
    <row r="75" spans="1:5" x14ac:dyDescent="0.25">
      <c r="A75" s="1" t="str">
        <f t="shared" si="1"/>
        <v>CO Kaiser Foundation Health Plan of Colorado</v>
      </c>
      <c r="B75" s="1" t="s">
        <v>51</v>
      </c>
      <c r="C75" s="1" t="s">
        <v>464</v>
      </c>
      <c r="D75" s="1" t="s">
        <v>55</v>
      </c>
      <c r="E75" s="1" t="s">
        <v>56</v>
      </c>
    </row>
    <row r="76" spans="1:5" x14ac:dyDescent="0.25">
      <c r="A76" s="1" t="str">
        <f t="shared" si="1"/>
        <v>CO PacifiCare Life and Health Insurance Co</v>
      </c>
      <c r="B76" s="1" t="s">
        <v>51</v>
      </c>
      <c r="C76" s="1" t="s">
        <v>464</v>
      </c>
      <c r="D76" s="1" t="s">
        <v>66</v>
      </c>
      <c r="E76" s="1" t="s">
        <v>32</v>
      </c>
    </row>
    <row r="77" spans="1:5" x14ac:dyDescent="0.25">
      <c r="A77" s="1" t="str">
        <f t="shared" si="1"/>
        <v>CO Rocky Mountain Health Maintenance Organization, Inc.</v>
      </c>
      <c r="B77" s="1" t="s">
        <v>51</v>
      </c>
      <c r="C77" s="1" t="s">
        <v>464</v>
      </c>
      <c r="D77" s="1" t="s">
        <v>57</v>
      </c>
      <c r="E77" s="1" t="s">
        <v>58</v>
      </c>
    </row>
    <row r="78" spans="1:5" x14ac:dyDescent="0.25">
      <c r="A78" s="1" t="str">
        <f t="shared" si="1"/>
        <v>CO UNICARE Life &amp; Health Insurance Company</v>
      </c>
      <c r="B78" s="1" t="s">
        <v>51</v>
      </c>
      <c r="C78" s="1" t="s">
        <v>464</v>
      </c>
      <c r="D78" s="1" t="s">
        <v>16</v>
      </c>
      <c r="E78" s="1" t="s">
        <v>17</v>
      </c>
    </row>
    <row r="79" spans="1:5" x14ac:dyDescent="0.25">
      <c r="A79" s="1" t="str">
        <f t="shared" si="1"/>
        <v>CO United American Insurance Co</v>
      </c>
      <c r="B79" s="1" t="s">
        <v>51</v>
      </c>
      <c r="C79" s="1" t="s">
        <v>464</v>
      </c>
      <c r="D79" s="1" t="s">
        <v>18</v>
      </c>
      <c r="E79" s="1" t="s">
        <v>19</v>
      </c>
    </row>
    <row r="80" spans="1:5" x14ac:dyDescent="0.25">
      <c r="A80" s="1" t="str">
        <f t="shared" si="1"/>
        <v>CO UnitedHealthcare Insurance Company</v>
      </c>
      <c r="B80" s="1" t="s">
        <v>51</v>
      </c>
      <c r="C80" s="1" t="s">
        <v>464</v>
      </c>
      <c r="D80" s="1" t="s">
        <v>20</v>
      </c>
      <c r="E80" s="1" t="s">
        <v>21</v>
      </c>
    </row>
    <row r="81" spans="1:5" x14ac:dyDescent="0.25">
      <c r="A81" s="1" t="str">
        <f t="shared" si="1"/>
        <v>CT Aetna Health Inc. (a Connecticut corporation)</v>
      </c>
      <c r="B81" s="1" t="s">
        <v>59</v>
      </c>
      <c r="C81" s="1" t="s">
        <v>474</v>
      </c>
      <c r="D81" s="1" t="s">
        <v>60</v>
      </c>
      <c r="E81" s="1" t="s">
        <v>5</v>
      </c>
    </row>
    <row r="82" spans="1:5" x14ac:dyDescent="0.25">
      <c r="A82" s="1" t="str">
        <f t="shared" si="1"/>
        <v>CT Aetna Life Insurance Company</v>
      </c>
      <c r="B82" s="1" t="s">
        <v>59</v>
      </c>
      <c r="C82" s="1" t="s">
        <v>474</v>
      </c>
      <c r="D82" s="1" t="s">
        <v>4</v>
      </c>
      <c r="E82" s="1" t="s">
        <v>5</v>
      </c>
    </row>
    <row r="83" spans="1:5" x14ac:dyDescent="0.25">
      <c r="A83" s="1" t="str">
        <f t="shared" si="1"/>
        <v>CT Anthem Health Plans, Inc.</v>
      </c>
      <c r="B83" s="1" t="s">
        <v>59</v>
      </c>
      <c r="C83" s="1" t="s">
        <v>474</v>
      </c>
      <c r="D83" s="1" t="s">
        <v>61</v>
      </c>
      <c r="E83" s="1" t="s">
        <v>41</v>
      </c>
    </row>
    <row r="84" spans="1:5" x14ac:dyDescent="0.25">
      <c r="A84" s="1" t="str">
        <f t="shared" si="1"/>
        <v>CT Celtic Insurance Company</v>
      </c>
      <c r="B84" s="1" t="s">
        <v>59</v>
      </c>
      <c r="C84" s="1" t="s">
        <v>474</v>
      </c>
      <c r="D84" s="1" t="s">
        <v>7</v>
      </c>
      <c r="E84" s="1" t="s">
        <v>8</v>
      </c>
    </row>
    <row r="85" spans="1:5" x14ac:dyDescent="0.25">
      <c r="A85" s="1" t="str">
        <f t="shared" si="1"/>
        <v>CT ConnectiCare, Inc</v>
      </c>
      <c r="B85" s="1" t="s">
        <v>59</v>
      </c>
      <c r="C85" s="1" t="s">
        <v>474</v>
      </c>
      <c r="D85" s="1" t="s">
        <v>62</v>
      </c>
      <c r="E85" s="1" t="s">
        <v>63</v>
      </c>
    </row>
    <row r="86" spans="1:5" x14ac:dyDescent="0.25">
      <c r="A86" s="1" t="str">
        <f t="shared" si="1"/>
        <v>CT Connecticut General Life Insurance Company</v>
      </c>
      <c r="B86" s="1" t="s">
        <v>59</v>
      </c>
      <c r="C86" s="1" t="s">
        <v>474</v>
      </c>
      <c r="D86" s="1" t="s">
        <v>9</v>
      </c>
      <c r="E86" s="1" t="s">
        <v>10</v>
      </c>
    </row>
    <row r="87" spans="1:5" x14ac:dyDescent="0.25">
      <c r="A87" s="1" t="str">
        <f t="shared" si="1"/>
        <v>CT Health Net Life Insurance Company</v>
      </c>
      <c r="B87" s="1" t="s">
        <v>59</v>
      </c>
      <c r="C87" s="1" t="s">
        <v>474</v>
      </c>
      <c r="D87" s="1" t="s">
        <v>28</v>
      </c>
      <c r="E87" s="1" t="s">
        <v>29</v>
      </c>
    </row>
    <row r="88" spans="1:5" x14ac:dyDescent="0.25">
      <c r="A88" s="1" t="str">
        <f t="shared" si="1"/>
        <v>CT Humana Insurance Company, Inc.</v>
      </c>
      <c r="B88" s="1" t="s">
        <v>59</v>
      </c>
      <c r="C88" s="1" t="s">
        <v>474</v>
      </c>
      <c r="D88" s="1" t="s">
        <v>15</v>
      </c>
      <c r="E88" s="1" t="s">
        <v>14</v>
      </c>
    </row>
    <row r="89" spans="1:5" x14ac:dyDescent="0.25">
      <c r="A89" s="1" t="str">
        <f t="shared" si="1"/>
        <v>CT Oxford Health Plans (CT), Inc</v>
      </c>
      <c r="B89" s="1" t="s">
        <v>59</v>
      </c>
      <c r="C89" s="1" t="s">
        <v>474</v>
      </c>
      <c r="D89" s="1" t="s">
        <v>64</v>
      </c>
      <c r="E89" s="1" t="s">
        <v>65</v>
      </c>
    </row>
    <row r="90" spans="1:5" x14ac:dyDescent="0.25">
      <c r="A90" s="1" t="str">
        <f t="shared" si="1"/>
        <v>CT PacifiCare Life and Health Insurance Co</v>
      </c>
      <c r="B90" s="1" t="s">
        <v>59</v>
      </c>
      <c r="C90" s="1" t="s">
        <v>474</v>
      </c>
      <c r="D90" s="1" t="s">
        <v>66</v>
      </c>
      <c r="E90" s="1" t="s">
        <v>32</v>
      </c>
    </row>
    <row r="91" spans="1:5" x14ac:dyDescent="0.25">
      <c r="A91" s="1" t="str">
        <f t="shared" si="1"/>
        <v>CT Tufts Insurance Company</v>
      </c>
      <c r="B91" s="1" t="s">
        <v>59</v>
      </c>
      <c r="C91" s="1" t="s">
        <v>474</v>
      </c>
      <c r="D91" s="1" t="s">
        <v>67</v>
      </c>
      <c r="E91" s="1" t="s">
        <v>68</v>
      </c>
    </row>
    <row r="92" spans="1:5" x14ac:dyDescent="0.25">
      <c r="A92" s="1" t="str">
        <f t="shared" si="1"/>
        <v>CT UNICARE Life &amp; Health Insurance Company</v>
      </c>
      <c r="B92" s="1" t="s">
        <v>59</v>
      </c>
      <c r="C92" s="1" t="s">
        <v>474</v>
      </c>
      <c r="D92" s="1" t="s">
        <v>16</v>
      </c>
      <c r="E92" s="1" t="s">
        <v>17</v>
      </c>
    </row>
    <row r="93" spans="1:5" x14ac:dyDescent="0.25">
      <c r="A93" s="1" t="str">
        <f t="shared" si="1"/>
        <v>CT United American Insurance Co</v>
      </c>
      <c r="B93" s="1" t="s">
        <v>59</v>
      </c>
      <c r="C93" s="1" t="s">
        <v>474</v>
      </c>
      <c r="D93" s="1" t="s">
        <v>18</v>
      </c>
      <c r="E93" s="1" t="s">
        <v>19</v>
      </c>
    </row>
    <row r="94" spans="1:5" x14ac:dyDescent="0.25">
      <c r="A94" s="1" t="str">
        <f t="shared" si="1"/>
        <v>CT UnitedHealthcare Insurance Company</v>
      </c>
      <c r="B94" s="1" t="s">
        <v>59</v>
      </c>
      <c r="C94" s="1" t="s">
        <v>474</v>
      </c>
      <c r="D94" s="1" t="s">
        <v>20</v>
      </c>
      <c r="E94" s="1" t="s">
        <v>21</v>
      </c>
    </row>
    <row r="95" spans="1:5" x14ac:dyDescent="0.25">
      <c r="A95" s="1" t="str">
        <f t="shared" si="1"/>
        <v>DE Aetna Health Inc. (a Pennsylvania corporation)</v>
      </c>
      <c r="B95" s="1" t="s">
        <v>69</v>
      </c>
      <c r="C95" s="1" t="s">
        <v>479</v>
      </c>
      <c r="D95" s="1" t="s">
        <v>26</v>
      </c>
      <c r="E95" s="1" t="s">
        <v>5</v>
      </c>
    </row>
    <row r="96" spans="1:5" x14ac:dyDescent="0.25">
      <c r="A96" s="1" t="str">
        <f t="shared" si="1"/>
        <v>DE Aetna Life Insurance Company</v>
      </c>
      <c r="B96" s="1" t="s">
        <v>69</v>
      </c>
      <c r="C96" s="1" t="s">
        <v>479</v>
      </c>
      <c r="D96" s="1" t="s">
        <v>4</v>
      </c>
      <c r="E96" s="1" t="s">
        <v>5</v>
      </c>
    </row>
    <row r="97" spans="1:5" x14ac:dyDescent="0.25">
      <c r="A97" s="1" t="str">
        <f t="shared" si="1"/>
        <v>DE Celtic Insurance Company</v>
      </c>
      <c r="B97" s="1" t="s">
        <v>69</v>
      </c>
      <c r="C97" s="1" t="s">
        <v>479</v>
      </c>
      <c r="D97" s="1" t="s">
        <v>7</v>
      </c>
      <c r="E97" s="1" t="s">
        <v>8</v>
      </c>
    </row>
    <row r="98" spans="1:5" x14ac:dyDescent="0.25">
      <c r="A98" s="1" t="str">
        <f t="shared" si="1"/>
        <v>DE Connecticut General Life Insurance Company</v>
      </c>
      <c r="B98" s="1" t="s">
        <v>69</v>
      </c>
      <c r="C98" s="1" t="s">
        <v>479</v>
      </c>
      <c r="D98" s="1" t="s">
        <v>9</v>
      </c>
      <c r="E98" s="1" t="s">
        <v>10</v>
      </c>
    </row>
    <row r="99" spans="1:5" x14ac:dyDescent="0.25">
      <c r="A99" s="1" t="str">
        <f t="shared" si="1"/>
        <v>DE Coventry Health &amp; Life Insuance Company</v>
      </c>
      <c r="B99" s="1" t="s">
        <v>69</v>
      </c>
      <c r="C99" s="1" t="s">
        <v>479</v>
      </c>
      <c r="D99" s="1" t="s">
        <v>35</v>
      </c>
      <c r="E99" s="1" t="s">
        <v>36</v>
      </c>
    </row>
    <row r="100" spans="1:5" x14ac:dyDescent="0.25">
      <c r="A100" s="1" t="str">
        <f t="shared" si="1"/>
        <v>DE Humana Insurance Company, Inc.</v>
      </c>
      <c r="B100" s="1" t="s">
        <v>69</v>
      </c>
      <c r="C100" s="1" t="s">
        <v>479</v>
      </c>
      <c r="D100" s="1" t="s">
        <v>15</v>
      </c>
      <c r="E100" s="1" t="s">
        <v>14</v>
      </c>
    </row>
    <row r="101" spans="1:5" x14ac:dyDescent="0.25">
      <c r="A101" s="1" t="str">
        <f t="shared" si="1"/>
        <v>DE United American Insurance Co</v>
      </c>
      <c r="B101" s="1" t="s">
        <v>69</v>
      </c>
      <c r="C101" s="1" t="s">
        <v>479</v>
      </c>
      <c r="D101" s="1" t="s">
        <v>18</v>
      </c>
      <c r="E101" s="1" t="s">
        <v>19</v>
      </c>
    </row>
    <row r="102" spans="1:5" x14ac:dyDescent="0.25">
      <c r="A102" s="1" t="str">
        <f t="shared" si="1"/>
        <v>DE UnitedHealthcare Insurance Company</v>
      </c>
      <c r="B102" s="1" t="s">
        <v>69</v>
      </c>
      <c r="C102" s="1" t="s">
        <v>479</v>
      </c>
      <c r="D102" s="1" t="s">
        <v>20</v>
      </c>
      <c r="E102" s="1" t="s">
        <v>21</v>
      </c>
    </row>
    <row r="103" spans="1:5" x14ac:dyDescent="0.25">
      <c r="A103" s="1" t="e">
        <f t="shared" si="1"/>
        <v>#N/A</v>
      </c>
      <c r="B103" s="1" t="s">
        <v>70</v>
      </c>
      <c r="C103" s="1" t="e">
        <v>#N/A</v>
      </c>
      <c r="D103" s="1" t="s">
        <v>26</v>
      </c>
      <c r="E103" s="1" t="s">
        <v>5</v>
      </c>
    </row>
    <row r="104" spans="1:5" x14ac:dyDescent="0.25">
      <c r="A104" s="1" t="e">
        <f t="shared" si="1"/>
        <v>#N/A</v>
      </c>
      <c r="B104" s="1" t="s">
        <v>70</v>
      </c>
      <c r="C104" s="1" t="e">
        <v>#N/A</v>
      </c>
      <c r="D104" s="1" t="s">
        <v>4</v>
      </c>
      <c r="E104" s="1" t="s">
        <v>5</v>
      </c>
    </row>
    <row r="105" spans="1:5" x14ac:dyDescent="0.25">
      <c r="A105" s="1" t="e">
        <f t="shared" si="1"/>
        <v>#N/A</v>
      </c>
      <c r="B105" s="1" t="s">
        <v>70</v>
      </c>
      <c r="C105" s="1" t="e">
        <v>#N/A</v>
      </c>
      <c r="D105" s="1" t="s">
        <v>7</v>
      </c>
      <c r="E105" s="1" t="s">
        <v>8</v>
      </c>
    </row>
    <row r="106" spans="1:5" x14ac:dyDescent="0.25">
      <c r="A106" s="1" t="e">
        <f t="shared" si="1"/>
        <v>#N/A</v>
      </c>
      <c r="B106" s="1" t="s">
        <v>70</v>
      </c>
      <c r="C106" s="1" t="e">
        <v>#N/A</v>
      </c>
      <c r="D106" s="1" t="s">
        <v>9</v>
      </c>
      <c r="E106" s="1" t="s">
        <v>10</v>
      </c>
    </row>
    <row r="107" spans="1:5" x14ac:dyDescent="0.25">
      <c r="A107" s="1" t="e">
        <f t="shared" si="1"/>
        <v>#N/A</v>
      </c>
      <c r="B107" s="1" t="s">
        <v>70</v>
      </c>
      <c r="C107" s="1" t="e">
        <v>#N/A</v>
      </c>
      <c r="D107" s="1" t="s">
        <v>15</v>
      </c>
      <c r="E107" s="1" t="s">
        <v>14</v>
      </c>
    </row>
    <row r="108" spans="1:5" x14ac:dyDescent="0.25">
      <c r="A108" s="1" t="e">
        <f t="shared" si="1"/>
        <v>#N/A</v>
      </c>
      <c r="B108" s="1" t="s">
        <v>70</v>
      </c>
      <c r="C108" s="1" t="e">
        <v>#N/A</v>
      </c>
      <c r="D108" s="1" t="s">
        <v>71</v>
      </c>
      <c r="E108" s="1" t="s">
        <v>56</v>
      </c>
    </row>
    <row r="109" spans="1:5" x14ac:dyDescent="0.25">
      <c r="A109" s="1" t="e">
        <f t="shared" si="1"/>
        <v>#N/A</v>
      </c>
      <c r="B109" s="1" t="s">
        <v>70</v>
      </c>
      <c r="C109" s="1" t="e">
        <v>#N/A</v>
      </c>
      <c r="D109" s="1" t="s">
        <v>16</v>
      </c>
      <c r="E109" s="1" t="s">
        <v>17</v>
      </c>
    </row>
    <row r="110" spans="1:5" x14ac:dyDescent="0.25">
      <c r="A110" s="1" t="e">
        <f t="shared" si="1"/>
        <v>#N/A</v>
      </c>
      <c r="B110" s="1" t="s">
        <v>70</v>
      </c>
      <c r="C110" s="1" t="e">
        <v>#N/A</v>
      </c>
      <c r="D110" s="1" t="s">
        <v>18</v>
      </c>
      <c r="E110" s="1" t="s">
        <v>19</v>
      </c>
    </row>
    <row r="111" spans="1:5" x14ac:dyDescent="0.25">
      <c r="A111" s="1" t="e">
        <f t="shared" si="1"/>
        <v>#N/A</v>
      </c>
      <c r="B111" s="1" t="s">
        <v>70</v>
      </c>
      <c r="C111" s="1" t="e">
        <v>#N/A</v>
      </c>
      <c r="D111" s="1" t="s">
        <v>20</v>
      </c>
      <c r="E111" s="1" t="s">
        <v>21</v>
      </c>
    </row>
    <row r="112" spans="1:5" x14ac:dyDescent="0.25">
      <c r="A112" s="1" t="str">
        <f t="shared" si="1"/>
        <v>FL Aetna Health Inc. (a Florida corporation)</v>
      </c>
      <c r="B112" s="1" t="s">
        <v>72</v>
      </c>
      <c r="C112" s="1" t="s">
        <v>482</v>
      </c>
      <c r="D112" s="1" t="s">
        <v>73</v>
      </c>
      <c r="E112" s="1" t="s">
        <v>5</v>
      </c>
    </row>
    <row r="113" spans="1:5" x14ac:dyDescent="0.25">
      <c r="A113" s="1" t="str">
        <f t="shared" si="1"/>
        <v>FL Aetna Life Insurance Company</v>
      </c>
      <c r="B113" s="1" t="s">
        <v>72</v>
      </c>
      <c r="C113" s="1" t="s">
        <v>482</v>
      </c>
      <c r="D113" s="1" t="s">
        <v>4</v>
      </c>
      <c r="E113" s="1" t="s">
        <v>5</v>
      </c>
    </row>
    <row r="114" spans="1:5" x14ac:dyDescent="0.25">
      <c r="A114" s="1" t="str">
        <f t="shared" si="1"/>
        <v>FL AvMed, Inc.</v>
      </c>
      <c r="B114" s="1" t="s">
        <v>72</v>
      </c>
      <c r="C114" s="1" t="s">
        <v>482</v>
      </c>
      <c r="D114" s="1" t="s">
        <v>74</v>
      </c>
    </row>
    <row r="115" spans="1:5" x14ac:dyDescent="0.25">
      <c r="A115" s="1" t="str">
        <f t="shared" si="1"/>
        <v>FL Blue Cross and Blue Shield of Florida, Inc.</v>
      </c>
      <c r="B115" s="1" t="s">
        <v>72</v>
      </c>
      <c r="C115" s="1" t="s">
        <v>482</v>
      </c>
      <c r="D115" s="1" t="s">
        <v>75</v>
      </c>
      <c r="E115" s="1" t="s">
        <v>75</v>
      </c>
    </row>
    <row r="116" spans="1:5" x14ac:dyDescent="0.25">
      <c r="A116" s="1" t="str">
        <f t="shared" si="1"/>
        <v>FL Capital Health Plan</v>
      </c>
      <c r="B116" s="1" t="s">
        <v>72</v>
      </c>
      <c r="C116" s="1" t="s">
        <v>482</v>
      </c>
      <c r="D116" s="1" t="s">
        <v>76</v>
      </c>
      <c r="E116" s="1" t="s">
        <v>75</v>
      </c>
    </row>
    <row r="117" spans="1:5" x14ac:dyDescent="0.25">
      <c r="A117" s="1" t="str">
        <f t="shared" si="1"/>
        <v>FL Celtic Insurance Company</v>
      </c>
      <c r="B117" s="1" t="s">
        <v>72</v>
      </c>
      <c r="C117" s="1" t="s">
        <v>482</v>
      </c>
      <c r="D117" s="1" t="s">
        <v>7</v>
      </c>
      <c r="E117" s="1" t="s">
        <v>8</v>
      </c>
    </row>
    <row r="118" spans="1:5" x14ac:dyDescent="0.25">
      <c r="A118" s="1" t="str">
        <f t="shared" si="1"/>
        <v>FL Citrus Health Care, Inc.</v>
      </c>
      <c r="B118" s="1" t="s">
        <v>72</v>
      </c>
      <c r="C118" s="1" t="s">
        <v>482</v>
      </c>
      <c r="D118" s="1" t="s">
        <v>77</v>
      </c>
      <c r="E118" s="1" t="s">
        <v>21</v>
      </c>
    </row>
    <row r="119" spans="1:5" x14ac:dyDescent="0.25">
      <c r="A119" s="1" t="str">
        <f t="shared" si="1"/>
        <v>FL Connecticut General Life Insurance Company</v>
      </c>
      <c r="B119" s="1" t="s">
        <v>72</v>
      </c>
      <c r="C119" s="1" t="s">
        <v>482</v>
      </c>
      <c r="D119" s="1" t="s">
        <v>9</v>
      </c>
      <c r="E119" s="1" t="s">
        <v>10</v>
      </c>
    </row>
    <row r="120" spans="1:5" x14ac:dyDescent="0.25">
      <c r="A120" s="1" t="str">
        <f t="shared" si="1"/>
        <v>FL Coventry Health Care of Fl., Inc.</v>
      </c>
      <c r="B120" s="1" t="s">
        <v>72</v>
      </c>
      <c r="C120" s="1" t="s">
        <v>482</v>
      </c>
      <c r="D120" s="1" t="s">
        <v>78</v>
      </c>
      <c r="E120" s="1" t="s">
        <v>36</v>
      </c>
    </row>
    <row r="121" spans="1:5" x14ac:dyDescent="0.25">
      <c r="A121" s="1" t="str">
        <f t="shared" si="1"/>
        <v>FL Coventry Health Plan of Fl., Inc.</v>
      </c>
      <c r="B121" s="1" t="s">
        <v>72</v>
      </c>
      <c r="C121" s="1" t="s">
        <v>482</v>
      </c>
      <c r="D121" s="1" t="s">
        <v>79</v>
      </c>
      <c r="E121" s="1" t="s">
        <v>36</v>
      </c>
    </row>
    <row r="122" spans="1:5" x14ac:dyDescent="0.25">
      <c r="A122" s="1" t="str">
        <f t="shared" si="1"/>
        <v>FL Florida Health Care Plan, Inc</v>
      </c>
      <c r="B122" s="1" t="s">
        <v>72</v>
      </c>
      <c r="C122" s="1" t="s">
        <v>482</v>
      </c>
      <c r="D122" s="1" t="s">
        <v>80</v>
      </c>
      <c r="E122" s="1" t="s">
        <v>81</v>
      </c>
    </row>
    <row r="123" spans="1:5" x14ac:dyDescent="0.25">
      <c r="A123" s="1" t="str">
        <f t="shared" si="1"/>
        <v>FL Health First Health Plans</v>
      </c>
      <c r="B123" s="1" t="s">
        <v>72</v>
      </c>
      <c r="C123" s="1" t="s">
        <v>482</v>
      </c>
      <c r="D123" s="1" t="s">
        <v>82</v>
      </c>
      <c r="E123" s="1" t="s">
        <v>83</v>
      </c>
    </row>
    <row r="124" spans="1:5" x14ac:dyDescent="0.25">
      <c r="A124" s="1" t="str">
        <f t="shared" si="1"/>
        <v>FL Health Net Life Insurance Company</v>
      </c>
      <c r="B124" s="1" t="s">
        <v>72</v>
      </c>
      <c r="C124" s="1" t="s">
        <v>482</v>
      </c>
      <c r="D124" s="1" t="s">
        <v>28</v>
      </c>
      <c r="E124" s="1" t="s">
        <v>29</v>
      </c>
    </row>
    <row r="125" spans="1:5" x14ac:dyDescent="0.25">
      <c r="A125" s="1" t="str">
        <f t="shared" si="1"/>
        <v>FL Health Options, Inc.</v>
      </c>
      <c r="B125" s="1" t="s">
        <v>72</v>
      </c>
      <c r="C125" s="1" t="s">
        <v>482</v>
      </c>
      <c r="D125" s="1" t="s">
        <v>84</v>
      </c>
      <c r="E125" s="1" t="s">
        <v>75</v>
      </c>
    </row>
    <row r="126" spans="1:5" x14ac:dyDescent="0.25">
      <c r="A126" s="1" t="str">
        <f t="shared" si="1"/>
        <v>FL Humana Health Insurance Company of Florida, Inc.</v>
      </c>
      <c r="B126" s="1" t="s">
        <v>72</v>
      </c>
      <c r="C126" s="1" t="s">
        <v>482</v>
      </c>
      <c r="D126" s="1" t="s">
        <v>85</v>
      </c>
      <c r="E126" s="1" t="s">
        <v>14</v>
      </c>
    </row>
    <row r="127" spans="1:5" x14ac:dyDescent="0.25">
      <c r="A127" s="1" t="str">
        <f t="shared" si="1"/>
        <v>FL Humana Insurance Company, Inc.</v>
      </c>
      <c r="B127" s="1" t="s">
        <v>72</v>
      </c>
      <c r="C127" s="1" t="s">
        <v>482</v>
      </c>
      <c r="D127" s="1" t="s">
        <v>15</v>
      </c>
      <c r="E127" s="1" t="s">
        <v>14</v>
      </c>
    </row>
    <row r="128" spans="1:5" x14ac:dyDescent="0.25">
      <c r="A128" s="1" t="str">
        <f t="shared" si="1"/>
        <v>FL Humana Medical Plan, Inc.</v>
      </c>
      <c r="B128" s="1" t="s">
        <v>72</v>
      </c>
      <c r="C128" s="1" t="s">
        <v>482</v>
      </c>
      <c r="D128" s="1" t="s">
        <v>86</v>
      </c>
      <c r="E128" s="1" t="s">
        <v>14</v>
      </c>
    </row>
    <row r="129" spans="1:5" x14ac:dyDescent="0.25">
      <c r="A129" s="1" t="str">
        <f t="shared" si="1"/>
        <v>FL Medica Health Plans of Florida, Inc</v>
      </c>
      <c r="B129" s="1" t="s">
        <v>72</v>
      </c>
      <c r="C129" s="1" t="s">
        <v>482</v>
      </c>
      <c r="D129" s="1" t="s">
        <v>87</v>
      </c>
      <c r="E129" s="1" t="s">
        <v>88</v>
      </c>
    </row>
    <row r="130" spans="1:5" x14ac:dyDescent="0.25">
      <c r="A130" s="1" t="str">
        <f t="shared" si="1"/>
        <v>FL PacifiCare Life and Health Insurance Co</v>
      </c>
      <c r="B130" s="1" t="s">
        <v>72</v>
      </c>
      <c r="C130" s="1" t="s">
        <v>482</v>
      </c>
      <c r="D130" s="1" t="s">
        <v>66</v>
      </c>
      <c r="E130" s="1" t="s">
        <v>32</v>
      </c>
    </row>
    <row r="131" spans="1:5" x14ac:dyDescent="0.25">
      <c r="A131" s="1" t="str">
        <f t="shared" ref="A131:A194" si="2">C131&amp;" "&amp;D131</f>
        <v>FL Preferred Medical Plan, Inc.</v>
      </c>
      <c r="B131" s="1" t="s">
        <v>72</v>
      </c>
      <c r="C131" s="1" t="s">
        <v>482</v>
      </c>
      <c r="D131" s="1" t="s">
        <v>89</v>
      </c>
    </row>
    <row r="132" spans="1:5" x14ac:dyDescent="0.25">
      <c r="A132" s="1" t="str">
        <f t="shared" si="2"/>
        <v>FL UNICARE Life &amp; Health Insurance Company</v>
      </c>
      <c r="B132" s="1" t="s">
        <v>72</v>
      </c>
      <c r="C132" s="1" t="s">
        <v>482</v>
      </c>
      <c r="D132" s="1" t="s">
        <v>16</v>
      </c>
      <c r="E132" s="1" t="s">
        <v>17</v>
      </c>
    </row>
    <row r="133" spans="1:5" x14ac:dyDescent="0.25">
      <c r="A133" s="1" t="str">
        <f t="shared" si="2"/>
        <v>FL United American Insurance Co</v>
      </c>
      <c r="B133" s="1" t="s">
        <v>72</v>
      </c>
      <c r="C133" s="1" t="s">
        <v>482</v>
      </c>
      <c r="D133" s="1" t="s">
        <v>18</v>
      </c>
      <c r="E133" s="1" t="s">
        <v>19</v>
      </c>
    </row>
    <row r="134" spans="1:5" x14ac:dyDescent="0.25">
      <c r="A134" s="1" t="str">
        <f t="shared" si="2"/>
        <v>FL UnitedHealthcare Insurance Company</v>
      </c>
      <c r="B134" s="1" t="s">
        <v>72</v>
      </c>
      <c r="C134" s="1" t="s">
        <v>482</v>
      </c>
      <c r="D134" s="1" t="s">
        <v>20</v>
      </c>
      <c r="E134" s="1" t="s">
        <v>21</v>
      </c>
    </row>
    <row r="135" spans="1:5" x14ac:dyDescent="0.25">
      <c r="A135" s="1" t="str">
        <f t="shared" si="2"/>
        <v>FL UnitedHealthcare of Florida, Inc.</v>
      </c>
      <c r="B135" s="1" t="s">
        <v>72</v>
      </c>
      <c r="C135" s="1" t="s">
        <v>482</v>
      </c>
      <c r="D135" s="1" t="s">
        <v>90</v>
      </c>
      <c r="E135" s="1" t="s">
        <v>21</v>
      </c>
    </row>
    <row r="136" spans="1:5" x14ac:dyDescent="0.25">
      <c r="A136" s="1" t="str">
        <f t="shared" si="2"/>
        <v>GA Aetna Health Inc. (a Georgia corporation)</v>
      </c>
      <c r="B136" s="1" t="s">
        <v>91</v>
      </c>
      <c r="C136" s="1" t="s">
        <v>523</v>
      </c>
      <c r="D136" s="1" t="s">
        <v>92</v>
      </c>
      <c r="E136" s="1" t="s">
        <v>5</v>
      </c>
    </row>
    <row r="137" spans="1:5" x14ac:dyDescent="0.25">
      <c r="A137" s="1" t="str">
        <f t="shared" si="2"/>
        <v>GA Aetna Life Insurance Company</v>
      </c>
      <c r="B137" s="1" t="s">
        <v>91</v>
      </c>
      <c r="C137" s="1" t="s">
        <v>523</v>
      </c>
      <c r="D137" s="1" t="s">
        <v>4</v>
      </c>
      <c r="E137" s="1" t="s">
        <v>5</v>
      </c>
    </row>
    <row r="138" spans="1:5" x14ac:dyDescent="0.25">
      <c r="A138" s="1" t="str">
        <f t="shared" si="2"/>
        <v>GA Blue Cross and Blue Shield of Georgia, Inc.</v>
      </c>
      <c r="B138" s="1" t="s">
        <v>91</v>
      </c>
      <c r="C138" s="1" t="s">
        <v>523</v>
      </c>
      <c r="D138" s="1" t="s">
        <v>94</v>
      </c>
      <c r="E138" s="1" t="s">
        <v>41</v>
      </c>
    </row>
    <row r="139" spans="1:5" x14ac:dyDescent="0.25">
      <c r="A139" s="1" t="str">
        <f t="shared" si="2"/>
        <v>GA Blue Cross Blue Shield Healthcare Plan of Georgia, Inc.</v>
      </c>
      <c r="B139" s="1" t="s">
        <v>91</v>
      </c>
      <c r="C139" s="1" t="s">
        <v>523</v>
      </c>
      <c r="D139" s="1" t="s">
        <v>93</v>
      </c>
      <c r="E139" s="1" t="s">
        <v>41</v>
      </c>
    </row>
    <row r="140" spans="1:5" x14ac:dyDescent="0.25">
      <c r="A140" s="1" t="str">
        <f t="shared" si="2"/>
        <v>GA Celtic Insurance Company</v>
      </c>
      <c r="B140" s="1" t="s">
        <v>91</v>
      </c>
      <c r="C140" s="1" t="s">
        <v>523</v>
      </c>
      <c r="D140" s="1" t="s">
        <v>7</v>
      </c>
      <c r="E140" s="1" t="s">
        <v>8</v>
      </c>
    </row>
    <row r="141" spans="1:5" x14ac:dyDescent="0.25">
      <c r="A141" s="1" t="str">
        <f t="shared" si="2"/>
        <v>GA Connecticut General Life Insurance Company</v>
      </c>
      <c r="B141" s="1" t="s">
        <v>91</v>
      </c>
      <c r="C141" s="1" t="s">
        <v>523</v>
      </c>
      <c r="D141" s="1" t="s">
        <v>9</v>
      </c>
      <c r="E141" s="1" t="s">
        <v>10</v>
      </c>
    </row>
    <row r="142" spans="1:5" x14ac:dyDescent="0.25">
      <c r="A142" s="1" t="str">
        <f t="shared" si="2"/>
        <v>GA Coventry Health &amp; Life Insuance Company</v>
      </c>
      <c r="B142" s="1" t="s">
        <v>91</v>
      </c>
      <c r="C142" s="1" t="s">
        <v>523</v>
      </c>
      <c r="D142" s="1" t="s">
        <v>35</v>
      </c>
      <c r="E142" s="1" t="s">
        <v>36</v>
      </c>
    </row>
    <row r="143" spans="1:5" x14ac:dyDescent="0.25">
      <c r="A143" s="1" t="str">
        <f t="shared" si="2"/>
        <v>GA Coventry Health Care of Georgia, Inc.</v>
      </c>
      <c r="B143" s="1" t="s">
        <v>91</v>
      </c>
      <c r="C143" s="1" t="s">
        <v>523</v>
      </c>
      <c r="D143" s="1" t="s">
        <v>95</v>
      </c>
      <c r="E143" s="1" t="s">
        <v>36</v>
      </c>
    </row>
    <row r="144" spans="1:5" x14ac:dyDescent="0.25">
      <c r="A144" s="1" t="str">
        <f t="shared" si="2"/>
        <v>GA Humana Employers Health Plan of Georgia, Inc.</v>
      </c>
      <c r="B144" s="1" t="s">
        <v>91</v>
      </c>
      <c r="C144" s="1" t="s">
        <v>523</v>
      </c>
      <c r="D144" s="1" t="s">
        <v>96</v>
      </c>
      <c r="E144" s="1" t="s">
        <v>14</v>
      </c>
    </row>
    <row r="145" spans="1:5" x14ac:dyDescent="0.25">
      <c r="A145" s="1" t="str">
        <f t="shared" si="2"/>
        <v>GA Humana Insurance Company, Inc.</v>
      </c>
      <c r="B145" s="1" t="s">
        <v>91</v>
      </c>
      <c r="C145" s="1" t="s">
        <v>523</v>
      </c>
      <c r="D145" s="1" t="s">
        <v>15</v>
      </c>
      <c r="E145" s="1" t="s">
        <v>14</v>
      </c>
    </row>
    <row r="146" spans="1:5" x14ac:dyDescent="0.25">
      <c r="A146" s="1" t="str">
        <f t="shared" si="2"/>
        <v>GA Kaiser Foundation Health Plan of Georgia, Inc.</v>
      </c>
      <c r="B146" s="1" t="s">
        <v>91</v>
      </c>
      <c r="C146" s="1" t="s">
        <v>523</v>
      </c>
      <c r="D146" s="1" t="s">
        <v>97</v>
      </c>
      <c r="E146" s="1" t="s">
        <v>56</v>
      </c>
    </row>
    <row r="147" spans="1:5" x14ac:dyDescent="0.25">
      <c r="A147" s="1" t="str">
        <f t="shared" si="2"/>
        <v>GA PacifiCare Life and Health Insurance Co</v>
      </c>
      <c r="B147" s="1" t="s">
        <v>91</v>
      </c>
      <c r="C147" s="1" t="s">
        <v>523</v>
      </c>
      <c r="D147" s="1" t="s">
        <v>66</v>
      </c>
      <c r="E147" s="1" t="s">
        <v>32</v>
      </c>
    </row>
    <row r="148" spans="1:5" x14ac:dyDescent="0.25">
      <c r="A148" s="1" t="str">
        <f t="shared" si="2"/>
        <v>GA Sierra Health and Life Insurance Company, Inc.</v>
      </c>
      <c r="B148" s="1" t="s">
        <v>91</v>
      </c>
      <c r="C148" s="1" t="s">
        <v>523</v>
      </c>
      <c r="D148" s="1" t="s">
        <v>31</v>
      </c>
      <c r="E148" s="1" t="s">
        <v>32</v>
      </c>
    </row>
    <row r="149" spans="1:5" x14ac:dyDescent="0.25">
      <c r="A149" s="1" t="str">
        <f t="shared" si="2"/>
        <v>GA UNICARE Life &amp; Health Insurance Company</v>
      </c>
      <c r="B149" s="1" t="s">
        <v>91</v>
      </c>
      <c r="C149" s="1" t="s">
        <v>523</v>
      </c>
      <c r="D149" s="1" t="s">
        <v>16</v>
      </c>
      <c r="E149" s="1" t="s">
        <v>17</v>
      </c>
    </row>
    <row r="150" spans="1:5" x14ac:dyDescent="0.25">
      <c r="A150" s="1" t="str">
        <f t="shared" si="2"/>
        <v>GA United American Insurance Co</v>
      </c>
      <c r="B150" s="1" t="s">
        <v>91</v>
      </c>
      <c r="C150" s="1" t="s">
        <v>523</v>
      </c>
      <c r="D150" s="1" t="s">
        <v>18</v>
      </c>
      <c r="E150" s="1" t="s">
        <v>19</v>
      </c>
    </row>
    <row r="151" spans="1:5" x14ac:dyDescent="0.25">
      <c r="A151" s="1" t="str">
        <f t="shared" si="2"/>
        <v>GA UnitedHealthcare Insurance Company</v>
      </c>
      <c r="B151" s="1" t="s">
        <v>91</v>
      </c>
      <c r="C151" s="1" t="s">
        <v>523</v>
      </c>
      <c r="D151" s="1" t="s">
        <v>20</v>
      </c>
      <c r="E151" s="1" t="s">
        <v>21</v>
      </c>
    </row>
    <row r="152" spans="1:5" x14ac:dyDescent="0.25">
      <c r="A152" s="1" t="str">
        <f t="shared" si="2"/>
        <v>GA UnitedHealthcare of Georgia, Inc.</v>
      </c>
      <c r="B152" s="1" t="s">
        <v>91</v>
      </c>
      <c r="C152" s="1" t="s">
        <v>523</v>
      </c>
      <c r="D152" s="1" t="s">
        <v>98</v>
      </c>
      <c r="E152" s="1" t="s">
        <v>21</v>
      </c>
    </row>
    <row r="153" spans="1:5" x14ac:dyDescent="0.25">
      <c r="A153" s="1" t="str">
        <f t="shared" si="2"/>
        <v>HI Aetna Life Insurance Company</v>
      </c>
      <c r="B153" s="1" t="s">
        <v>99</v>
      </c>
      <c r="C153" s="1" t="s">
        <v>529</v>
      </c>
      <c r="D153" s="1" t="s">
        <v>4</v>
      </c>
      <c r="E153" s="1" t="s">
        <v>5</v>
      </c>
    </row>
    <row r="154" spans="1:5" x14ac:dyDescent="0.25">
      <c r="A154" s="1" t="str">
        <f t="shared" si="2"/>
        <v>HI Connecticut General Life Insurance Company</v>
      </c>
      <c r="B154" s="1" t="s">
        <v>99</v>
      </c>
      <c r="C154" s="1" t="s">
        <v>529</v>
      </c>
      <c r="D154" s="1" t="s">
        <v>9</v>
      </c>
      <c r="E154" s="1" t="s">
        <v>10</v>
      </c>
    </row>
    <row r="155" spans="1:5" x14ac:dyDescent="0.25">
      <c r="A155" s="1" t="str">
        <f t="shared" si="2"/>
        <v>HI Hawaii Medical Service Association</v>
      </c>
      <c r="B155" s="1" t="s">
        <v>99</v>
      </c>
      <c r="C155" s="1" t="s">
        <v>529</v>
      </c>
      <c r="D155" s="1" t="s">
        <v>100</v>
      </c>
    </row>
    <row r="156" spans="1:5" x14ac:dyDescent="0.25">
      <c r="A156" s="1" t="str">
        <f t="shared" si="2"/>
        <v>HI Humana Insurance Company, Inc.</v>
      </c>
      <c r="B156" s="1" t="s">
        <v>99</v>
      </c>
      <c r="C156" s="1" t="s">
        <v>529</v>
      </c>
      <c r="D156" s="1" t="s">
        <v>15</v>
      </c>
      <c r="E156" s="1" t="s">
        <v>14</v>
      </c>
    </row>
    <row r="157" spans="1:5" x14ac:dyDescent="0.25">
      <c r="A157" s="1" t="str">
        <f t="shared" si="2"/>
        <v>HI Kaiser Foundation Health Plan, Inc.</v>
      </c>
      <c r="B157" s="1" t="s">
        <v>99</v>
      </c>
      <c r="C157" s="1" t="s">
        <v>529</v>
      </c>
      <c r="D157" s="1" t="s">
        <v>48</v>
      </c>
      <c r="E157" s="1" t="s">
        <v>101</v>
      </c>
    </row>
    <row r="158" spans="1:5" x14ac:dyDescent="0.25">
      <c r="A158" s="1" t="str">
        <f t="shared" si="2"/>
        <v>HI PacifiCare Life and Health Insurance Co</v>
      </c>
      <c r="B158" s="1" t="s">
        <v>99</v>
      </c>
      <c r="C158" s="1" t="s">
        <v>529</v>
      </c>
      <c r="D158" s="1" t="s">
        <v>66</v>
      </c>
      <c r="E158" s="1" t="s">
        <v>32</v>
      </c>
    </row>
    <row r="159" spans="1:5" x14ac:dyDescent="0.25">
      <c r="A159" s="1" t="str">
        <f t="shared" si="2"/>
        <v>HI United American Insurance Co</v>
      </c>
      <c r="B159" s="1" t="s">
        <v>99</v>
      </c>
      <c r="C159" s="1" t="s">
        <v>529</v>
      </c>
      <c r="D159" s="1" t="s">
        <v>18</v>
      </c>
      <c r="E159" s="1" t="s">
        <v>19</v>
      </c>
    </row>
    <row r="160" spans="1:5" x14ac:dyDescent="0.25">
      <c r="A160" s="1" t="str">
        <f t="shared" si="2"/>
        <v>HI UnitedHealthcare Insurance Company</v>
      </c>
      <c r="B160" s="1" t="s">
        <v>99</v>
      </c>
      <c r="C160" s="1" t="s">
        <v>529</v>
      </c>
      <c r="D160" s="1" t="s">
        <v>20</v>
      </c>
      <c r="E160" s="1" t="s">
        <v>21</v>
      </c>
    </row>
    <row r="161" spans="1:5" x14ac:dyDescent="0.25">
      <c r="A161" s="1" t="str">
        <f t="shared" si="2"/>
        <v>ID Aetna Life Insurance Company</v>
      </c>
      <c r="B161" s="1" t="s">
        <v>102</v>
      </c>
      <c r="C161" s="1" t="s">
        <v>539</v>
      </c>
      <c r="D161" s="1" t="s">
        <v>4</v>
      </c>
      <c r="E161" s="1" t="s">
        <v>5</v>
      </c>
    </row>
    <row r="162" spans="1:5" x14ac:dyDescent="0.25">
      <c r="A162" s="1" t="str">
        <f t="shared" si="2"/>
        <v>ID Blue Cross of Idaho Health Service, Inc.</v>
      </c>
      <c r="B162" s="1" t="s">
        <v>102</v>
      </c>
      <c r="C162" s="1" t="s">
        <v>539</v>
      </c>
      <c r="D162" s="1" t="s">
        <v>103</v>
      </c>
    </row>
    <row r="163" spans="1:5" x14ac:dyDescent="0.25">
      <c r="A163" s="1" t="str">
        <f t="shared" si="2"/>
        <v>ID Celtic Insurance Company</v>
      </c>
      <c r="B163" s="1" t="s">
        <v>102</v>
      </c>
      <c r="C163" s="1" t="s">
        <v>539</v>
      </c>
      <c r="D163" s="1" t="s">
        <v>7</v>
      </c>
      <c r="E163" s="1" t="s">
        <v>8</v>
      </c>
    </row>
    <row r="164" spans="1:5" x14ac:dyDescent="0.25">
      <c r="A164" s="1" t="str">
        <f t="shared" si="2"/>
        <v>ID Connecticut General Life Insurance Company</v>
      </c>
      <c r="B164" s="1" t="s">
        <v>102</v>
      </c>
      <c r="C164" s="1" t="s">
        <v>539</v>
      </c>
      <c r="D164" s="1" t="s">
        <v>9</v>
      </c>
      <c r="E164" s="1" t="s">
        <v>10</v>
      </c>
    </row>
    <row r="165" spans="1:5" x14ac:dyDescent="0.25">
      <c r="A165" s="1" t="str">
        <f t="shared" si="2"/>
        <v>ID Humana Health Plan, Inc.</v>
      </c>
      <c r="B165" s="1" t="s">
        <v>102</v>
      </c>
      <c r="C165" s="1" t="s">
        <v>539</v>
      </c>
      <c r="D165" s="1" t="s">
        <v>13</v>
      </c>
      <c r="E165" s="1" t="s">
        <v>14</v>
      </c>
    </row>
    <row r="166" spans="1:5" x14ac:dyDescent="0.25">
      <c r="A166" s="1" t="str">
        <f t="shared" si="2"/>
        <v>ID Humana Insurance Company, Inc.</v>
      </c>
      <c r="B166" s="1" t="s">
        <v>102</v>
      </c>
      <c r="C166" s="1" t="s">
        <v>539</v>
      </c>
      <c r="D166" s="1" t="s">
        <v>15</v>
      </c>
      <c r="E166" s="1" t="s">
        <v>14</v>
      </c>
    </row>
    <row r="167" spans="1:5" x14ac:dyDescent="0.25">
      <c r="A167" s="1" t="str">
        <f t="shared" si="2"/>
        <v>ID PacifiCare Life and Health Insurance Co</v>
      </c>
      <c r="B167" s="1" t="s">
        <v>102</v>
      </c>
      <c r="C167" s="1" t="s">
        <v>539</v>
      </c>
      <c r="D167" s="1" t="s">
        <v>66</v>
      </c>
      <c r="E167" s="1" t="s">
        <v>32</v>
      </c>
    </row>
    <row r="168" spans="1:5" x14ac:dyDescent="0.25">
      <c r="A168" s="1" t="str">
        <f t="shared" si="2"/>
        <v>ID Regence BlueShield of Idaho, Inc.</v>
      </c>
      <c r="B168" s="1" t="s">
        <v>102</v>
      </c>
      <c r="C168" s="1" t="s">
        <v>539</v>
      </c>
      <c r="D168" s="1" t="s">
        <v>104</v>
      </c>
      <c r="E168" s="1" t="s">
        <v>105</v>
      </c>
    </row>
    <row r="169" spans="1:5" x14ac:dyDescent="0.25">
      <c r="A169" s="1" t="str">
        <f t="shared" si="2"/>
        <v>ID Sierra Health and Life Insurance Company, Inc.</v>
      </c>
      <c r="B169" s="1" t="s">
        <v>102</v>
      </c>
      <c r="C169" s="1" t="s">
        <v>539</v>
      </c>
      <c r="D169" s="1" t="s">
        <v>31</v>
      </c>
      <c r="E169" s="1" t="s">
        <v>32</v>
      </c>
    </row>
    <row r="170" spans="1:5" x14ac:dyDescent="0.25">
      <c r="A170" s="1" t="str">
        <f t="shared" si="2"/>
        <v>ID UNICARE Life &amp; Health Insurance Company</v>
      </c>
      <c r="B170" s="1" t="s">
        <v>102</v>
      </c>
      <c r="C170" s="1" t="s">
        <v>539</v>
      </c>
      <c r="D170" s="1" t="s">
        <v>16</v>
      </c>
      <c r="E170" s="1" t="s">
        <v>17</v>
      </c>
    </row>
    <row r="171" spans="1:5" x14ac:dyDescent="0.25">
      <c r="A171" s="1" t="str">
        <f t="shared" si="2"/>
        <v>ID United American Insurance Co</v>
      </c>
      <c r="B171" s="1" t="s">
        <v>102</v>
      </c>
      <c r="C171" s="1" t="s">
        <v>539</v>
      </c>
      <c r="D171" s="1" t="s">
        <v>18</v>
      </c>
      <c r="E171" s="1" t="s">
        <v>19</v>
      </c>
    </row>
    <row r="172" spans="1:5" x14ac:dyDescent="0.25">
      <c r="A172" s="1" t="str">
        <f t="shared" si="2"/>
        <v>ID UnitedHealthcare Insurance Company</v>
      </c>
      <c r="B172" s="1" t="s">
        <v>102</v>
      </c>
      <c r="C172" s="1" t="s">
        <v>539</v>
      </c>
      <c r="D172" s="1" t="s">
        <v>20</v>
      </c>
      <c r="E172" s="1" t="s">
        <v>21</v>
      </c>
    </row>
    <row r="173" spans="1:5" x14ac:dyDescent="0.25">
      <c r="A173" s="1" t="str">
        <f t="shared" si="2"/>
        <v>IL Aetna Health Inc. (a Pennsylvania corporation)</v>
      </c>
      <c r="B173" s="1" t="s">
        <v>106</v>
      </c>
      <c r="C173" s="1" t="s">
        <v>543</v>
      </c>
      <c r="D173" s="1" t="s">
        <v>26</v>
      </c>
      <c r="E173" s="1" t="s">
        <v>5</v>
      </c>
    </row>
    <row r="174" spans="1:5" x14ac:dyDescent="0.25">
      <c r="A174" s="1" t="str">
        <f t="shared" si="2"/>
        <v>IL Aetna Life Insurance Company</v>
      </c>
      <c r="B174" s="1" t="s">
        <v>106</v>
      </c>
      <c r="C174" s="1" t="s">
        <v>543</v>
      </c>
      <c r="D174" s="1" t="s">
        <v>4</v>
      </c>
      <c r="E174" s="1" t="s">
        <v>5</v>
      </c>
    </row>
    <row r="175" spans="1:5" x14ac:dyDescent="0.25">
      <c r="A175" s="1" t="str">
        <f t="shared" si="2"/>
        <v>IL Celtic Insurance Company</v>
      </c>
      <c r="B175" s="1" t="s">
        <v>106</v>
      </c>
      <c r="C175" s="1" t="s">
        <v>543</v>
      </c>
      <c r="D175" s="1" t="s">
        <v>7</v>
      </c>
      <c r="E175" s="1" t="s">
        <v>8</v>
      </c>
    </row>
    <row r="176" spans="1:5" x14ac:dyDescent="0.25">
      <c r="A176" s="1" t="str">
        <f t="shared" si="2"/>
        <v>IL Connecticut General Life Insurance Company</v>
      </c>
      <c r="B176" s="1" t="s">
        <v>106</v>
      </c>
      <c r="C176" s="1" t="s">
        <v>543</v>
      </c>
      <c r="D176" s="1" t="s">
        <v>9</v>
      </c>
      <c r="E176" s="1" t="s">
        <v>10</v>
      </c>
    </row>
    <row r="177" spans="1:5" x14ac:dyDescent="0.25">
      <c r="A177" s="1" t="str">
        <f t="shared" si="2"/>
        <v>IL Coventry Health &amp; Life Insuance Company</v>
      </c>
      <c r="B177" s="1" t="s">
        <v>106</v>
      </c>
      <c r="C177" s="1" t="s">
        <v>543</v>
      </c>
      <c r="D177" s="1" t="s">
        <v>35</v>
      </c>
      <c r="E177" s="1" t="s">
        <v>36</v>
      </c>
    </row>
    <row r="178" spans="1:5" x14ac:dyDescent="0.25">
      <c r="A178" s="1" t="str">
        <f t="shared" si="2"/>
        <v>IL Coventry Health Care of Illinois, Inc.</v>
      </c>
      <c r="B178" s="1" t="s">
        <v>106</v>
      </c>
      <c r="C178" s="1" t="s">
        <v>543</v>
      </c>
      <c r="D178" s="1" t="s">
        <v>107</v>
      </c>
      <c r="E178" s="1" t="s">
        <v>36</v>
      </c>
    </row>
    <row r="179" spans="1:5" x14ac:dyDescent="0.25">
      <c r="A179" s="1" t="str">
        <f t="shared" si="2"/>
        <v>IL Coventry Health Care of Missouri, Inc.</v>
      </c>
      <c r="B179" s="1" t="s">
        <v>106</v>
      </c>
      <c r="C179" s="1" t="s">
        <v>543</v>
      </c>
      <c r="D179" s="1" t="s">
        <v>108</v>
      </c>
      <c r="E179" s="1" t="s">
        <v>36</v>
      </c>
    </row>
    <row r="180" spans="1:5" x14ac:dyDescent="0.25">
      <c r="A180" s="1" t="str">
        <f t="shared" si="2"/>
        <v>IL Health Alliance Medical Plans, Inc.</v>
      </c>
      <c r="B180" s="1" t="s">
        <v>106</v>
      </c>
      <c r="C180" s="1" t="s">
        <v>543</v>
      </c>
      <c r="D180" s="1" t="s">
        <v>109</v>
      </c>
      <c r="E180" s="1" t="s">
        <v>110</v>
      </c>
    </row>
    <row r="181" spans="1:5" x14ac:dyDescent="0.25">
      <c r="A181" s="1" t="str">
        <f t="shared" si="2"/>
        <v>IL HealthSpring of TN, Inc</v>
      </c>
      <c r="B181" s="1" t="s">
        <v>106</v>
      </c>
      <c r="C181" s="1" t="s">
        <v>543</v>
      </c>
      <c r="D181" s="1" t="s">
        <v>111</v>
      </c>
      <c r="E181" s="1" t="s">
        <v>12</v>
      </c>
    </row>
    <row r="182" spans="1:5" x14ac:dyDescent="0.25">
      <c r="A182" s="1" t="str">
        <f t="shared" si="2"/>
        <v>IL Humana Benefit Plan of Illinois, Inc.</v>
      </c>
      <c r="B182" s="1" t="s">
        <v>106</v>
      </c>
      <c r="C182" s="1" t="s">
        <v>543</v>
      </c>
      <c r="D182" s="1" t="s">
        <v>112</v>
      </c>
      <c r="E182" s="1" t="s">
        <v>14</v>
      </c>
    </row>
    <row r="183" spans="1:5" x14ac:dyDescent="0.25">
      <c r="A183" s="1" t="str">
        <f t="shared" si="2"/>
        <v>IL Humana Health Plan, Inc.</v>
      </c>
      <c r="B183" s="1" t="s">
        <v>106</v>
      </c>
      <c r="C183" s="1" t="s">
        <v>543</v>
      </c>
      <c r="D183" s="1" t="s">
        <v>13</v>
      </c>
      <c r="E183" s="1" t="s">
        <v>14</v>
      </c>
    </row>
    <row r="184" spans="1:5" x14ac:dyDescent="0.25">
      <c r="A184" s="1" t="str">
        <f t="shared" si="2"/>
        <v>IL Humana Insurance Company, Inc.</v>
      </c>
      <c r="B184" s="1" t="s">
        <v>106</v>
      </c>
      <c r="C184" s="1" t="s">
        <v>543</v>
      </c>
      <c r="D184" s="1" t="s">
        <v>15</v>
      </c>
      <c r="E184" s="1" t="s">
        <v>14</v>
      </c>
    </row>
    <row r="185" spans="1:5" x14ac:dyDescent="0.25">
      <c r="A185" s="1" t="str">
        <f t="shared" si="2"/>
        <v>IL Medical Associates Health Plan, Inc</v>
      </c>
      <c r="B185" s="1" t="s">
        <v>106</v>
      </c>
      <c r="C185" s="1" t="s">
        <v>543</v>
      </c>
      <c r="D185" s="1" t="s">
        <v>113</v>
      </c>
    </row>
    <row r="186" spans="1:5" x14ac:dyDescent="0.25">
      <c r="A186" s="1" t="str">
        <f t="shared" si="2"/>
        <v>IL PacifiCare Life and Health Insurance Co</v>
      </c>
      <c r="B186" s="1" t="s">
        <v>106</v>
      </c>
      <c r="C186" s="1" t="s">
        <v>543</v>
      </c>
      <c r="D186" s="1" t="s">
        <v>66</v>
      </c>
      <c r="E186" s="1" t="s">
        <v>32</v>
      </c>
    </row>
    <row r="187" spans="1:5" x14ac:dyDescent="0.25">
      <c r="A187" s="1" t="str">
        <f t="shared" si="2"/>
        <v>IL UNICARE Life &amp; Health Insurance Company</v>
      </c>
      <c r="B187" s="1" t="s">
        <v>106</v>
      </c>
      <c r="C187" s="1" t="s">
        <v>543</v>
      </c>
      <c r="D187" s="1" t="s">
        <v>16</v>
      </c>
      <c r="E187" s="1" t="s">
        <v>17</v>
      </c>
    </row>
    <row r="188" spans="1:5" x14ac:dyDescent="0.25">
      <c r="A188" s="1" t="str">
        <f t="shared" si="2"/>
        <v>IL Union Health Service, Inc.</v>
      </c>
      <c r="B188" s="1" t="s">
        <v>106</v>
      </c>
      <c r="C188" s="1" t="s">
        <v>543</v>
      </c>
      <c r="D188" s="1" t="s">
        <v>847</v>
      </c>
    </row>
    <row r="189" spans="1:5" x14ac:dyDescent="0.25">
      <c r="A189" s="1" t="str">
        <f t="shared" si="2"/>
        <v>IL United American Insurance Co</v>
      </c>
      <c r="B189" s="1" t="s">
        <v>106</v>
      </c>
      <c r="C189" s="1" t="s">
        <v>543</v>
      </c>
      <c r="D189" s="1" t="s">
        <v>18</v>
      </c>
      <c r="E189" s="1" t="s">
        <v>19</v>
      </c>
    </row>
    <row r="190" spans="1:5" x14ac:dyDescent="0.25">
      <c r="A190" s="1" t="str">
        <f t="shared" si="2"/>
        <v>IL UnitedHealthcare Insurance Company</v>
      </c>
      <c r="B190" s="1" t="s">
        <v>106</v>
      </c>
      <c r="C190" s="1" t="s">
        <v>543</v>
      </c>
      <c r="D190" s="1" t="s">
        <v>20</v>
      </c>
      <c r="E190" s="1" t="s">
        <v>21</v>
      </c>
    </row>
    <row r="191" spans="1:5" x14ac:dyDescent="0.25">
      <c r="A191" s="1" t="str">
        <f t="shared" si="2"/>
        <v>IL UnitedHealthcare of the Midwest, Inc.</v>
      </c>
      <c r="B191" s="1" t="s">
        <v>106</v>
      </c>
      <c r="C191" s="1" t="s">
        <v>543</v>
      </c>
      <c r="D191" s="1" t="s">
        <v>115</v>
      </c>
      <c r="E191" s="1" t="s">
        <v>21</v>
      </c>
    </row>
    <row r="192" spans="1:5" x14ac:dyDescent="0.25">
      <c r="A192" s="1" t="str">
        <f t="shared" si="2"/>
        <v>IL UnitedHealthcare Plan of the River Valley, Inc.</v>
      </c>
      <c r="B192" s="1" t="s">
        <v>106</v>
      </c>
      <c r="C192" s="1" t="s">
        <v>543</v>
      </c>
      <c r="D192" s="1" t="s">
        <v>114</v>
      </c>
      <c r="E192" s="1" t="s">
        <v>21</v>
      </c>
    </row>
    <row r="193" spans="1:5" x14ac:dyDescent="0.25">
      <c r="A193" s="1" t="str">
        <f t="shared" si="2"/>
        <v>IN ADVANTAGE Health Solutions, Inc</v>
      </c>
      <c r="B193" s="1" t="s">
        <v>116</v>
      </c>
      <c r="C193" s="1" t="s">
        <v>549</v>
      </c>
      <c r="D193" s="1" t="s">
        <v>117</v>
      </c>
    </row>
    <row r="194" spans="1:5" x14ac:dyDescent="0.25">
      <c r="A194" s="1" t="str">
        <f t="shared" si="2"/>
        <v>IN Aetna Life Insurance Company</v>
      </c>
      <c r="B194" s="1" t="s">
        <v>116</v>
      </c>
      <c r="C194" s="1" t="s">
        <v>549</v>
      </c>
      <c r="D194" s="1" t="s">
        <v>4</v>
      </c>
      <c r="E194" s="1" t="s">
        <v>5</v>
      </c>
    </row>
    <row r="195" spans="1:5" x14ac:dyDescent="0.25">
      <c r="A195" s="1" t="str">
        <f t="shared" ref="A195:A258" si="3">C195&amp;" "&amp;D195</f>
        <v>IN Anthem Insurance Companies, Inc.</v>
      </c>
      <c r="B195" s="1" t="s">
        <v>116</v>
      </c>
      <c r="C195" s="1" t="s">
        <v>549</v>
      </c>
      <c r="D195" s="1" t="s">
        <v>118</v>
      </c>
      <c r="E195" s="1" t="s">
        <v>17</v>
      </c>
    </row>
    <row r="196" spans="1:5" x14ac:dyDescent="0.25">
      <c r="A196" s="1" t="str">
        <f t="shared" si="3"/>
        <v>IN Celtic Insurance Company</v>
      </c>
      <c r="B196" s="1" t="s">
        <v>116</v>
      </c>
      <c r="C196" s="1" t="s">
        <v>549</v>
      </c>
      <c r="D196" s="1" t="s">
        <v>7</v>
      </c>
      <c r="E196" s="1" t="s">
        <v>8</v>
      </c>
    </row>
    <row r="197" spans="1:5" x14ac:dyDescent="0.25">
      <c r="A197" s="1" t="str">
        <f t="shared" si="3"/>
        <v>IN Connecticut General Life Insurance Company</v>
      </c>
      <c r="B197" s="1" t="s">
        <v>116</v>
      </c>
      <c r="C197" s="1" t="s">
        <v>549</v>
      </c>
      <c r="D197" s="1" t="s">
        <v>9</v>
      </c>
      <c r="E197" s="1" t="s">
        <v>10</v>
      </c>
    </row>
    <row r="198" spans="1:5" x14ac:dyDescent="0.25">
      <c r="A198" s="1" t="str">
        <f t="shared" si="3"/>
        <v>IN Humana Health Plan, Inc.</v>
      </c>
      <c r="B198" s="1" t="s">
        <v>116</v>
      </c>
      <c r="C198" s="1" t="s">
        <v>549</v>
      </c>
      <c r="D198" s="1" t="s">
        <v>13</v>
      </c>
      <c r="E198" s="1" t="s">
        <v>14</v>
      </c>
    </row>
    <row r="199" spans="1:5" x14ac:dyDescent="0.25">
      <c r="A199" s="1" t="str">
        <f t="shared" si="3"/>
        <v>IN Humana Insurance Company, Inc.</v>
      </c>
      <c r="B199" s="1" t="s">
        <v>116</v>
      </c>
      <c r="C199" s="1" t="s">
        <v>549</v>
      </c>
      <c r="D199" s="1" t="s">
        <v>15</v>
      </c>
      <c r="E199" s="1" t="s">
        <v>14</v>
      </c>
    </row>
    <row r="200" spans="1:5" x14ac:dyDescent="0.25">
      <c r="A200" s="1" t="str">
        <f t="shared" si="3"/>
        <v>IN NHP of Indiana LLC</v>
      </c>
      <c r="B200" s="1" t="s">
        <v>116</v>
      </c>
      <c r="C200" s="1" t="s">
        <v>549</v>
      </c>
      <c r="D200" s="1" t="s">
        <v>119</v>
      </c>
    </row>
    <row r="201" spans="1:5" x14ac:dyDescent="0.25">
      <c r="A201" s="1" t="str">
        <f t="shared" si="3"/>
        <v>IN PacifiCare Life and Health Insurance Co</v>
      </c>
      <c r="B201" s="1" t="s">
        <v>116</v>
      </c>
      <c r="C201" s="1" t="s">
        <v>549</v>
      </c>
      <c r="D201" s="1" t="s">
        <v>66</v>
      </c>
      <c r="E201" s="1" t="s">
        <v>32</v>
      </c>
    </row>
    <row r="202" spans="1:5" x14ac:dyDescent="0.25">
      <c r="A202" s="1" t="str">
        <f t="shared" si="3"/>
        <v>IN Sierra Health and Life Insurance Company, Inc.</v>
      </c>
      <c r="B202" s="1" t="s">
        <v>116</v>
      </c>
      <c r="C202" s="1" t="s">
        <v>549</v>
      </c>
      <c r="D202" s="1" t="s">
        <v>31</v>
      </c>
      <c r="E202" s="1" t="s">
        <v>32</v>
      </c>
    </row>
    <row r="203" spans="1:5" x14ac:dyDescent="0.25">
      <c r="A203" s="1" t="str">
        <f t="shared" si="3"/>
        <v>IN UNICARE Life &amp; Health Insurance Company</v>
      </c>
      <c r="B203" s="1" t="s">
        <v>116</v>
      </c>
      <c r="C203" s="1" t="s">
        <v>549</v>
      </c>
      <c r="D203" s="1" t="s">
        <v>16</v>
      </c>
      <c r="E203" s="1" t="s">
        <v>17</v>
      </c>
    </row>
    <row r="204" spans="1:5" x14ac:dyDescent="0.25">
      <c r="A204" s="1" t="str">
        <f t="shared" si="3"/>
        <v>IN United American Insurance Co</v>
      </c>
      <c r="B204" s="1" t="s">
        <v>116</v>
      </c>
      <c r="C204" s="1" t="s">
        <v>549</v>
      </c>
      <c r="D204" s="1" t="s">
        <v>18</v>
      </c>
      <c r="E204" s="1" t="s">
        <v>19</v>
      </c>
    </row>
    <row r="205" spans="1:5" x14ac:dyDescent="0.25">
      <c r="A205" s="1" t="str">
        <f t="shared" si="3"/>
        <v>IN UnitedHealthcare Insurance Company</v>
      </c>
      <c r="B205" s="1" t="s">
        <v>116</v>
      </c>
      <c r="C205" s="1" t="s">
        <v>549</v>
      </c>
      <c r="D205" s="1" t="s">
        <v>20</v>
      </c>
      <c r="E205" s="1" t="s">
        <v>21</v>
      </c>
    </row>
    <row r="206" spans="1:5" x14ac:dyDescent="0.25">
      <c r="A206" s="1" t="str">
        <f t="shared" si="3"/>
        <v>IA Aetna Life Insurance Company</v>
      </c>
      <c r="B206" s="1" t="s">
        <v>120</v>
      </c>
      <c r="C206" s="1" t="s">
        <v>536</v>
      </c>
      <c r="D206" s="1" t="s">
        <v>4</v>
      </c>
      <c r="E206" s="1" t="s">
        <v>5</v>
      </c>
    </row>
    <row r="207" spans="1:5" x14ac:dyDescent="0.25">
      <c r="A207" s="1" t="str">
        <f t="shared" si="3"/>
        <v>IA Celtic Insurance Company</v>
      </c>
      <c r="B207" s="1" t="s">
        <v>120</v>
      </c>
      <c r="C207" s="1" t="s">
        <v>536</v>
      </c>
      <c r="D207" s="1" t="s">
        <v>7</v>
      </c>
      <c r="E207" s="1" t="s">
        <v>8</v>
      </c>
    </row>
    <row r="208" spans="1:5" x14ac:dyDescent="0.25">
      <c r="A208" s="1" t="str">
        <f t="shared" si="3"/>
        <v>IA Connecticut General Life Insurance Company</v>
      </c>
      <c r="B208" s="1" t="s">
        <v>120</v>
      </c>
      <c r="C208" s="1" t="s">
        <v>536</v>
      </c>
      <c r="D208" s="1" t="s">
        <v>9</v>
      </c>
      <c r="E208" s="1" t="s">
        <v>10</v>
      </c>
    </row>
    <row r="209" spans="1:5" x14ac:dyDescent="0.25">
      <c r="A209" s="1" t="str">
        <f t="shared" si="3"/>
        <v>IA Coventry Health &amp; Life Insuance Company</v>
      </c>
      <c r="B209" s="1" t="s">
        <v>120</v>
      </c>
      <c r="C209" s="1" t="s">
        <v>536</v>
      </c>
      <c r="D209" s="1" t="s">
        <v>35</v>
      </c>
      <c r="E209" s="1" t="s">
        <v>36</v>
      </c>
    </row>
    <row r="210" spans="1:5" x14ac:dyDescent="0.25">
      <c r="A210" s="1" t="str">
        <f t="shared" si="3"/>
        <v>IA Coventry Healthcare of Iowa, Inc</v>
      </c>
      <c r="B210" s="1" t="s">
        <v>120</v>
      </c>
      <c r="C210" s="1" t="s">
        <v>536</v>
      </c>
      <c r="D210" s="1" t="s">
        <v>121</v>
      </c>
      <c r="E210" s="1" t="s">
        <v>122</v>
      </c>
    </row>
    <row r="211" spans="1:5" x14ac:dyDescent="0.25">
      <c r="A211" s="1" t="str">
        <f t="shared" si="3"/>
        <v>IA Humana Insurance Company, Inc.</v>
      </c>
      <c r="B211" s="1" t="s">
        <v>120</v>
      </c>
      <c r="C211" s="1" t="s">
        <v>536</v>
      </c>
      <c r="D211" s="1" t="s">
        <v>15</v>
      </c>
      <c r="E211" s="1" t="s">
        <v>14</v>
      </c>
    </row>
    <row r="212" spans="1:5" x14ac:dyDescent="0.25">
      <c r="A212" s="1" t="str">
        <f t="shared" si="3"/>
        <v>IA Medical Associates Health Plan, Inc</v>
      </c>
      <c r="B212" s="1" t="s">
        <v>120</v>
      </c>
      <c r="C212" s="1" t="s">
        <v>536</v>
      </c>
      <c r="D212" s="1" t="s">
        <v>113</v>
      </c>
    </row>
    <row r="213" spans="1:5" x14ac:dyDescent="0.25">
      <c r="A213" s="1" t="str">
        <f t="shared" si="3"/>
        <v>IA United American Insurance Co</v>
      </c>
      <c r="B213" s="1" t="s">
        <v>120</v>
      </c>
      <c r="C213" s="1" t="s">
        <v>536</v>
      </c>
      <c r="D213" s="1" t="s">
        <v>18</v>
      </c>
      <c r="E213" s="1" t="s">
        <v>19</v>
      </c>
    </row>
    <row r="214" spans="1:5" x14ac:dyDescent="0.25">
      <c r="A214" s="1" t="str">
        <f t="shared" si="3"/>
        <v>IA UnitedHealthcare Insurance Company</v>
      </c>
      <c r="B214" s="1" t="s">
        <v>120</v>
      </c>
      <c r="C214" s="1" t="s">
        <v>536</v>
      </c>
      <c r="D214" s="1" t="s">
        <v>20</v>
      </c>
      <c r="E214" s="1" t="s">
        <v>21</v>
      </c>
    </row>
    <row r="215" spans="1:5" x14ac:dyDescent="0.25">
      <c r="A215" s="1" t="str">
        <f t="shared" si="3"/>
        <v>IA UnitedHealthcare Plan of the River Valley, Inc.</v>
      </c>
      <c r="B215" s="1" t="s">
        <v>120</v>
      </c>
      <c r="C215" s="1" t="s">
        <v>536</v>
      </c>
      <c r="D215" s="1" t="s">
        <v>114</v>
      </c>
      <c r="E215" s="1" t="s">
        <v>21</v>
      </c>
    </row>
    <row r="216" spans="1:5" x14ac:dyDescent="0.25">
      <c r="A216" s="1" t="str">
        <f t="shared" si="3"/>
        <v>IA Wellmark Health Plan of Iowa, Inc.</v>
      </c>
      <c r="B216" s="1" t="s">
        <v>120</v>
      </c>
      <c r="C216" s="1" t="s">
        <v>536</v>
      </c>
      <c r="D216" s="1" t="s">
        <v>123</v>
      </c>
      <c r="E216" s="1" t="s">
        <v>124</v>
      </c>
    </row>
    <row r="217" spans="1:5" x14ac:dyDescent="0.25">
      <c r="A217" s="1" t="str">
        <f t="shared" si="3"/>
        <v>IA Wellmark, Inc.</v>
      </c>
      <c r="B217" s="1" t="s">
        <v>120</v>
      </c>
      <c r="C217" s="1" t="s">
        <v>536</v>
      </c>
      <c r="D217" s="1" t="s">
        <v>125</v>
      </c>
      <c r="E217" s="1" t="s">
        <v>124</v>
      </c>
    </row>
    <row r="218" spans="1:5" x14ac:dyDescent="0.25">
      <c r="A218" s="1" t="str">
        <f t="shared" si="3"/>
        <v>KS Aetna Life Insurance Company</v>
      </c>
      <c r="B218" s="1" t="s">
        <v>126</v>
      </c>
      <c r="C218" s="1" t="s">
        <v>555</v>
      </c>
      <c r="D218" s="1" t="s">
        <v>4</v>
      </c>
      <c r="E218" s="1" t="s">
        <v>5</v>
      </c>
    </row>
    <row r="219" spans="1:5" x14ac:dyDescent="0.25">
      <c r="A219" s="1" t="str">
        <f t="shared" si="3"/>
        <v>KS Blue Cross and Blue Shield of Kansas, Inc.</v>
      </c>
      <c r="B219" s="1" t="s">
        <v>126</v>
      </c>
      <c r="C219" s="1" t="s">
        <v>555</v>
      </c>
      <c r="D219" s="1" t="s">
        <v>127</v>
      </c>
      <c r="E219" s="1" t="s">
        <v>127</v>
      </c>
    </row>
    <row r="220" spans="1:5" x14ac:dyDescent="0.25">
      <c r="A220" s="1" t="str">
        <f t="shared" si="3"/>
        <v>KS Celtic Insurance Company</v>
      </c>
      <c r="B220" s="1" t="s">
        <v>126</v>
      </c>
      <c r="C220" s="1" t="s">
        <v>555</v>
      </c>
      <c r="D220" s="1" t="s">
        <v>7</v>
      </c>
      <c r="E220" s="1" t="s">
        <v>8</v>
      </c>
    </row>
    <row r="221" spans="1:5" x14ac:dyDescent="0.25">
      <c r="A221" s="1" t="str">
        <f t="shared" si="3"/>
        <v>KS Connecticut General Life Insurance Company</v>
      </c>
      <c r="B221" s="1" t="s">
        <v>126</v>
      </c>
      <c r="C221" s="1" t="s">
        <v>555</v>
      </c>
      <c r="D221" s="1" t="s">
        <v>9</v>
      </c>
      <c r="E221" s="1" t="s">
        <v>10</v>
      </c>
    </row>
    <row r="222" spans="1:5" x14ac:dyDescent="0.25">
      <c r="A222" s="1" t="str">
        <f t="shared" si="3"/>
        <v>KS Coventry Health &amp; Life Insuance Company</v>
      </c>
      <c r="B222" s="1" t="s">
        <v>126</v>
      </c>
      <c r="C222" s="1" t="s">
        <v>555</v>
      </c>
      <c r="D222" s="1" t="s">
        <v>35</v>
      </c>
      <c r="E222" s="1" t="s">
        <v>36</v>
      </c>
    </row>
    <row r="223" spans="1:5" x14ac:dyDescent="0.25">
      <c r="A223" s="1" t="str">
        <f t="shared" si="3"/>
        <v>KS Coventry Health Care of Kansas, Inc.</v>
      </c>
      <c r="B223" s="1" t="s">
        <v>126</v>
      </c>
      <c r="C223" s="1" t="s">
        <v>555</v>
      </c>
      <c r="D223" s="1" t="s">
        <v>128</v>
      </c>
      <c r="E223" s="1" t="s">
        <v>122</v>
      </c>
    </row>
    <row r="224" spans="1:5" x14ac:dyDescent="0.25">
      <c r="A224" s="1" t="str">
        <f t="shared" si="3"/>
        <v>KS Humana Health Plan, Inc.</v>
      </c>
      <c r="B224" s="1" t="s">
        <v>126</v>
      </c>
      <c r="C224" s="1" t="s">
        <v>555</v>
      </c>
      <c r="D224" s="1" t="s">
        <v>13</v>
      </c>
      <c r="E224" s="1" t="s">
        <v>14</v>
      </c>
    </row>
    <row r="225" spans="1:5" x14ac:dyDescent="0.25">
      <c r="A225" s="1" t="str">
        <f t="shared" si="3"/>
        <v>KS Humana Insurance Company, Inc.</v>
      </c>
      <c r="B225" s="1" t="s">
        <v>126</v>
      </c>
      <c r="C225" s="1" t="s">
        <v>555</v>
      </c>
      <c r="D225" s="1" t="s">
        <v>15</v>
      </c>
      <c r="E225" s="1" t="s">
        <v>14</v>
      </c>
    </row>
    <row r="226" spans="1:5" x14ac:dyDescent="0.25">
      <c r="A226" s="1" t="str">
        <f t="shared" si="3"/>
        <v>KS UNICARE Life &amp; Health Insurance Company</v>
      </c>
      <c r="B226" s="1" t="s">
        <v>126</v>
      </c>
      <c r="C226" s="1" t="s">
        <v>555</v>
      </c>
      <c r="D226" s="1" t="s">
        <v>16</v>
      </c>
      <c r="E226" s="1" t="s">
        <v>17</v>
      </c>
    </row>
    <row r="227" spans="1:5" x14ac:dyDescent="0.25">
      <c r="A227" s="1" t="str">
        <f t="shared" si="3"/>
        <v>KS United American Insurance Co</v>
      </c>
      <c r="B227" s="1" t="s">
        <v>126</v>
      </c>
      <c r="C227" s="1" t="s">
        <v>555</v>
      </c>
      <c r="D227" s="1" t="s">
        <v>18</v>
      </c>
      <c r="E227" s="1" t="s">
        <v>19</v>
      </c>
    </row>
    <row r="228" spans="1:5" x14ac:dyDescent="0.25">
      <c r="A228" s="1" t="str">
        <f t="shared" si="3"/>
        <v>KS UnitedHealthcare Insurance Company</v>
      </c>
      <c r="B228" s="1" t="s">
        <v>126</v>
      </c>
      <c r="C228" s="1" t="s">
        <v>555</v>
      </c>
      <c r="D228" s="1" t="s">
        <v>20</v>
      </c>
      <c r="E228" s="1" t="s">
        <v>21</v>
      </c>
    </row>
    <row r="229" spans="1:5" x14ac:dyDescent="0.25">
      <c r="A229" s="1" t="str">
        <f t="shared" si="3"/>
        <v>KY Aetna Life Insurance Company</v>
      </c>
      <c r="B229" s="1" t="s">
        <v>129</v>
      </c>
      <c r="C229" s="1" t="s">
        <v>559</v>
      </c>
      <c r="D229" s="1" t="s">
        <v>4</v>
      </c>
      <c r="E229" s="1" t="s">
        <v>5</v>
      </c>
    </row>
    <row r="230" spans="1:5" x14ac:dyDescent="0.25">
      <c r="A230" s="1" t="str">
        <f t="shared" si="3"/>
        <v>KY Anthem Health Plans of Kentucky, Inc.</v>
      </c>
      <c r="B230" s="1" t="s">
        <v>129</v>
      </c>
      <c r="C230" s="1" t="s">
        <v>559</v>
      </c>
      <c r="D230" s="1" t="s">
        <v>130</v>
      </c>
      <c r="E230" s="1" t="s">
        <v>41</v>
      </c>
    </row>
    <row r="231" spans="1:5" x14ac:dyDescent="0.25">
      <c r="A231" s="1" t="str">
        <f t="shared" si="3"/>
        <v>KY Anthem Insurance Companies, Inc.</v>
      </c>
      <c r="B231" s="1" t="s">
        <v>129</v>
      </c>
      <c r="C231" s="1" t="s">
        <v>559</v>
      </c>
      <c r="D231" s="1" t="s">
        <v>118</v>
      </c>
      <c r="E231" s="1" t="s">
        <v>17</v>
      </c>
    </row>
    <row r="232" spans="1:5" x14ac:dyDescent="0.25">
      <c r="A232" s="1" t="str">
        <f t="shared" si="3"/>
        <v>KY Bluegrass Family Health</v>
      </c>
      <c r="B232" s="1" t="s">
        <v>129</v>
      </c>
      <c r="C232" s="1" t="s">
        <v>559</v>
      </c>
      <c r="D232" s="1" t="s">
        <v>131</v>
      </c>
    </row>
    <row r="233" spans="1:5" x14ac:dyDescent="0.25">
      <c r="A233" s="1" t="str">
        <f t="shared" si="3"/>
        <v>KY Connecticut General Life Insurance Company</v>
      </c>
      <c r="B233" s="1" t="s">
        <v>129</v>
      </c>
      <c r="C233" s="1" t="s">
        <v>559</v>
      </c>
      <c r="D233" s="1" t="s">
        <v>9</v>
      </c>
      <c r="E233" s="1" t="s">
        <v>10</v>
      </c>
    </row>
    <row r="234" spans="1:5" x14ac:dyDescent="0.25">
      <c r="A234" s="1" t="str">
        <f t="shared" si="3"/>
        <v>KY Humana Health Plan of Ohio, Inc.</v>
      </c>
      <c r="B234" s="1" t="s">
        <v>129</v>
      </c>
      <c r="C234" s="1" t="s">
        <v>559</v>
      </c>
      <c r="D234" s="1" t="s">
        <v>132</v>
      </c>
      <c r="E234" s="1" t="s">
        <v>14</v>
      </c>
    </row>
    <row r="235" spans="1:5" x14ac:dyDescent="0.25">
      <c r="A235" s="1" t="str">
        <f t="shared" si="3"/>
        <v>KY Humana Health Plan, Inc.</v>
      </c>
      <c r="B235" s="1" t="s">
        <v>129</v>
      </c>
      <c r="C235" s="1" t="s">
        <v>559</v>
      </c>
      <c r="D235" s="1" t="s">
        <v>13</v>
      </c>
      <c r="E235" s="1" t="s">
        <v>14</v>
      </c>
    </row>
    <row r="236" spans="1:5" x14ac:dyDescent="0.25">
      <c r="A236" s="1" t="str">
        <f t="shared" si="3"/>
        <v>KY Humana Insurance Company, Inc.</v>
      </c>
      <c r="B236" s="1" t="s">
        <v>129</v>
      </c>
      <c r="C236" s="1" t="s">
        <v>559</v>
      </c>
      <c r="D236" s="1" t="s">
        <v>15</v>
      </c>
      <c r="E236" s="1" t="s">
        <v>14</v>
      </c>
    </row>
    <row r="237" spans="1:5" x14ac:dyDescent="0.25">
      <c r="A237" s="1" t="str">
        <f t="shared" si="3"/>
        <v>KY UNICARE Life &amp; Health Insurance Company</v>
      </c>
      <c r="B237" s="1" t="s">
        <v>129</v>
      </c>
      <c r="C237" s="1" t="s">
        <v>559</v>
      </c>
      <c r="D237" s="1" t="s">
        <v>16</v>
      </c>
      <c r="E237" s="1" t="s">
        <v>17</v>
      </c>
    </row>
    <row r="238" spans="1:5" x14ac:dyDescent="0.25">
      <c r="A238" s="1" t="str">
        <f t="shared" si="3"/>
        <v>KY United American Insurance Co</v>
      </c>
      <c r="B238" s="1" t="s">
        <v>129</v>
      </c>
      <c r="C238" s="1" t="s">
        <v>559</v>
      </c>
      <c r="D238" s="1" t="s">
        <v>18</v>
      </c>
      <c r="E238" s="1" t="s">
        <v>19</v>
      </c>
    </row>
    <row r="239" spans="1:5" x14ac:dyDescent="0.25">
      <c r="A239" s="1" t="str">
        <f t="shared" si="3"/>
        <v>KY UnitedHealthcare Insurance Company</v>
      </c>
      <c r="B239" s="1" t="s">
        <v>129</v>
      </c>
      <c r="C239" s="1" t="s">
        <v>559</v>
      </c>
      <c r="D239" s="1" t="s">
        <v>20</v>
      </c>
      <c r="E239" s="1" t="s">
        <v>21</v>
      </c>
    </row>
    <row r="240" spans="1:5" x14ac:dyDescent="0.25">
      <c r="A240" s="1" t="str">
        <f t="shared" si="3"/>
        <v>KY UnitedHealthcare of Ohio, Inc</v>
      </c>
      <c r="B240" s="1" t="s">
        <v>129</v>
      </c>
      <c r="C240" s="1" t="s">
        <v>559</v>
      </c>
      <c r="D240" s="1" t="s">
        <v>133</v>
      </c>
      <c r="E240" s="1" t="s">
        <v>134</v>
      </c>
    </row>
    <row r="241" spans="1:5" x14ac:dyDescent="0.25">
      <c r="A241" s="1" t="str">
        <f t="shared" si="3"/>
        <v>LA Aetna Life Insurance Company</v>
      </c>
      <c r="B241" s="1" t="s">
        <v>135</v>
      </c>
      <c r="C241" s="1" t="s">
        <v>561</v>
      </c>
      <c r="D241" s="1" t="s">
        <v>4</v>
      </c>
      <c r="E241" s="1" t="s">
        <v>5</v>
      </c>
    </row>
    <row r="242" spans="1:5" x14ac:dyDescent="0.25">
      <c r="A242" s="1" t="str">
        <f t="shared" si="3"/>
        <v>LA Celtic Insurance Company</v>
      </c>
      <c r="B242" s="1" t="s">
        <v>135</v>
      </c>
      <c r="C242" s="1" t="s">
        <v>561</v>
      </c>
      <c r="D242" s="1" t="s">
        <v>7</v>
      </c>
      <c r="E242" s="1" t="s">
        <v>8</v>
      </c>
    </row>
    <row r="243" spans="1:5" x14ac:dyDescent="0.25">
      <c r="A243" s="1" t="str">
        <f t="shared" si="3"/>
        <v>LA Connecticut General Life Insurance Company</v>
      </c>
      <c r="B243" s="1" t="s">
        <v>135</v>
      </c>
      <c r="C243" s="1" t="s">
        <v>561</v>
      </c>
      <c r="D243" s="1" t="s">
        <v>9</v>
      </c>
      <c r="E243" s="1" t="s">
        <v>10</v>
      </c>
    </row>
    <row r="244" spans="1:5" x14ac:dyDescent="0.25">
      <c r="A244" s="1" t="str">
        <f t="shared" si="3"/>
        <v>LA Coventry Health &amp; Life Insuance Company</v>
      </c>
      <c r="B244" s="1" t="s">
        <v>135</v>
      </c>
      <c r="C244" s="1" t="s">
        <v>561</v>
      </c>
      <c r="D244" s="1" t="s">
        <v>35</v>
      </c>
      <c r="E244" s="1" t="s">
        <v>36</v>
      </c>
    </row>
    <row r="245" spans="1:5" x14ac:dyDescent="0.25">
      <c r="A245" s="1" t="str">
        <f t="shared" si="3"/>
        <v>LA Humana Health Benefit Plan of Louisiana, Inc.</v>
      </c>
      <c r="B245" s="1" t="s">
        <v>135</v>
      </c>
      <c r="C245" s="1" t="s">
        <v>561</v>
      </c>
      <c r="D245" s="1" t="s">
        <v>136</v>
      </c>
      <c r="E245" s="1" t="s">
        <v>14</v>
      </c>
    </row>
    <row r="246" spans="1:5" x14ac:dyDescent="0.25">
      <c r="A246" s="1" t="str">
        <f t="shared" si="3"/>
        <v>LA Humana Insurance Company, Inc.</v>
      </c>
      <c r="B246" s="1" t="s">
        <v>135</v>
      </c>
      <c r="C246" s="1" t="s">
        <v>561</v>
      </c>
      <c r="D246" s="1" t="s">
        <v>15</v>
      </c>
      <c r="E246" s="1" t="s">
        <v>14</v>
      </c>
    </row>
    <row r="247" spans="1:5" x14ac:dyDescent="0.25">
      <c r="A247" s="1" t="str">
        <f t="shared" si="3"/>
        <v>LA Louisiana Health Service and Indemnity Company</v>
      </c>
      <c r="B247" s="1" t="s">
        <v>135</v>
      </c>
      <c r="C247" s="1" t="s">
        <v>561</v>
      </c>
      <c r="D247" s="1" t="s">
        <v>137</v>
      </c>
      <c r="E247" s="1" t="s">
        <v>138</v>
      </c>
    </row>
    <row r="248" spans="1:5" x14ac:dyDescent="0.25">
      <c r="A248" s="1" t="str">
        <f t="shared" si="3"/>
        <v>LA PacifiCare Life and Health Insurance Co</v>
      </c>
      <c r="B248" s="1" t="s">
        <v>135</v>
      </c>
      <c r="C248" s="1" t="s">
        <v>561</v>
      </c>
      <c r="D248" s="1" t="s">
        <v>66</v>
      </c>
      <c r="E248" s="1" t="s">
        <v>32</v>
      </c>
    </row>
    <row r="249" spans="1:5" x14ac:dyDescent="0.25">
      <c r="A249" s="1" t="str">
        <f t="shared" si="3"/>
        <v>LA UNICARE Life &amp; Health Insurance Company</v>
      </c>
      <c r="B249" s="1" t="s">
        <v>135</v>
      </c>
      <c r="C249" s="1" t="s">
        <v>561</v>
      </c>
      <c r="D249" s="1" t="s">
        <v>16</v>
      </c>
      <c r="E249" s="1" t="s">
        <v>17</v>
      </c>
    </row>
    <row r="250" spans="1:5" x14ac:dyDescent="0.25">
      <c r="A250" s="1" t="str">
        <f t="shared" si="3"/>
        <v>LA United American Insurance Co</v>
      </c>
      <c r="B250" s="1" t="s">
        <v>135</v>
      </c>
      <c r="C250" s="1" t="s">
        <v>561</v>
      </c>
      <c r="D250" s="1" t="s">
        <v>18</v>
      </c>
      <c r="E250" s="1" t="s">
        <v>19</v>
      </c>
    </row>
    <row r="251" spans="1:5" x14ac:dyDescent="0.25">
      <c r="A251" s="1" t="str">
        <f t="shared" si="3"/>
        <v>LA UnitedHealthcare Insurance Company</v>
      </c>
      <c r="B251" s="1" t="s">
        <v>135</v>
      </c>
      <c r="C251" s="1" t="s">
        <v>561</v>
      </c>
      <c r="D251" s="1" t="s">
        <v>20</v>
      </c>
      <c r="E251" s="1" t="s">
        <v>21</v>
      </c>
    </row>
    <row r="252" spans="1:5" x14ac:dyDescent="0.25">
      <c r="A252" s="1" t="str">
        <f t="shared" si="3"/>
        <v>LA Vantage Health Plan, Inc.</v>
      </c>
      <c r="B252" s="1" t="s">
        <v>135</v>
      </c>
      <c r="C252" s="1" t="s">
        <v>561</v>
      </c>
      <c r="D252" s="1" t="s">
        <v>139</v>
      </c>
    </row>
    <row r="253" spans="1:5" x14ac:dyDescent="0.25">
      <c r="A253" s="1" t="str">
        <f t="shared" si="3"/>
        <v>ME Aetna Health Inc. (a Maine corporation)</v>
      </c>
      <c r="B253" s="1" t="s">
        <v>140</v>
      </c>
      <c r="C253" s="1" t="s">
        <v>589</v>
      </c>
      <c r="D253" s="1" t="s">
        <v>141</v>
      </c>
      <c r="E253" s="1" t="s">
        <v>5</v>
      </c>
    </row>
    <row r="254" spans="1:5" x14ac:dyDescent="0.25">
      <c r="A254" s="1" t="str">
        <f t="shared" si="3"/>
        <v>ME Aetna Life Insurance Company</v>
      </c>
      <c r="B254" s="1" t="s">
        <v>140</v>
      </c>
      <c r="C254" s="1" t="s">
        <v>589</v>
      </c>
      <c r="D254" s="1" t="s">
        <v>4</v>
      </c>
      <c r="E254" s="1" t="s">
        <v>5</v>
      </c>
    </row>
    <row r="255" spans="1:5" x14ac:dyDescent="0.25">
      <c r="A255" s="1" t="str">
        <f t="shared" si="3"/>
        <v>ME Celtic Insurance Company</v>
      </c>
      <c r="B255" s="1" t="s">
        <v>140</v>
      </c>
      <c r="C255" s="1" t="s">
        <v>589</v>
      </c>
      <c r="D255" s="1" t="s">
        <v>7</v>
      </c>
      <c r="E255" s="1" t="s">
        <v>8</v>
      </c>
    </row>
    <row r="256" spans="1:5" x14ac:dyDescent="0.25">
      <c r="A256" s="1" t="str">
        <f t="shared" si="3"/>
        <v>ME Connecticut General Life Insurance Company</v>
      </c>
      <c r="B256" s="1" t="s">
        <v>140</v>
      </c>
      <c r="C256" s="1" t="s">
        <v>589</v>
      </c>
      <c r="D256" s="1" t="s">
        <v>9</v>
      </c>
      <c r="E256" s="1" t="s">
        <v>10</v>
      </c>
    </row>
    <row r="257" spans="1:5" x14ac:dyDescent="0.25">
      <c r="A257" s="1" t="str">
        <f t="shared" si="3"/>
        <v>ME HPHC Insurance Company, Inc.</v>
      </c>
      <c r="B257" s="1" t="s">
        <v>140</v>
      </c>
      <c r="C257" s="1" t="s">
        <v>589</v>
      </c>
      <c r="D257" s="1" t="s">
        <v>142</v>
      </c>
      <c r="E257" s="1" t="s">
        <v>143</v>
      </c>
    </row>
    <row r="258" spans="1:5" x14ac:dyDescent="0.25">
      <c r="A258" s="1" t="str">
        <f t="shared" si="3"/>
        <v>ME Humana Insurance Company, Inc.</v>
      </c>
      <c r="B258" s="1" t="s">
        <v>140</v>
      </c>
      <c r="C258" s="1" t="s">
        <v>589</v>
      </c>
      <c r="D258" s="1" t="s">
        <v>15</v>
      </c>
      <c r="E258" s="1" t="s">
        <v>14</v>
      </c>
    </row>
    <row r="259" spans="1:5" x14ac:dyDescent="0.25">
      <c r="A259" s="1" t="str">
        <f t="shared" ref="A259:A322" si="4">C259&amp;" "&amp;D259</f>
        <v>ME UNICARE Life &amp; Health Insurance Company</v>
      </c>
      <c r="B259" s="1" t="s">
        <v>140</v>
      </c>
      <c r="C259" s="1" t="s">
        <v>589</v>
      </c>
      <c r="D259" s="1" t="s">
        <v>16</v>
      </c>
      <c r="E259" s="1" t="s">
        <v>17</v>
      </c>
    </row>
    <row r="260" spans="1:5" x14ac:dyDescent="0.25">
      <c r="A260" s="1" t="str">
        <f t="shared" si="4"/>
        <v>ME United American Insurance Co</v>
      </c>
      <c r="B260" s="1" t="s">
        <v>140</v>
      </c>
      <c r="C260" s="1" t="s">
        <v>589</v>
      </c>
      <c r="D260" s="1" t="s">
        <v>18</v>
      </c>
      <c r="E260" s="1" t="s">
        <v>19</v>
      </c>
    </row>
    <row r="261" spans="1:5" x14ac:dyDescent="0.25">
      <c r="A261" s="1" t="str">
        <f t="shared" si="4"/>
        <v>ME UnitedHealthcare Insurance Company</v>
      </c>
      <c r="B261" s="1" t="s">
        <v>140</v>
      </c>
      <c r="C261" s="1" t="s">
        <v>589</v>
      </c>
      <c r="D261" s="1" t="s">
        <v>20</v>
      </c>
      <c r="E261" s="1" t="s">
        <v>21</v>
      </c>
    </row>
    <row r="262" spans="1:5" x14ac:dyDescent="0.25">
      <c r="A262" s="1" t="str">
        <f t="shared" si="4"/>
        <v>MD Aetna Health Inc. (a Pennsylvania corporation)</v>
      </c>
      <c r="B262" s="1" t="s">
        <v>144</v>
      </c>
      <c r="C262" s="1" t="s">
        <v>586</v>
      </c>
      <c r="D262" s="1" t="s">
        <v>26</v>
      </c>
      <c r="E262" s="1" t="s">
        <v>5</v>
      </c>
    </row>
    <row r="263" spans="1:5" x14ac:dyDescent="0.25">
      <c r="A263" s="1" t="str">
        <f t="shared" si="4"/>
        <v>MD Aetna Life Insurance Company</v>
      </c>
      <c r="B263" s="1" t="s">
        <v>144</v>
      </c>
      <c r="C263" s="1" t="s">
        <v>586</v>
      </c>
      <c r="D263" s="1" t="s">
        <v>4</v>
      </c>
      <c r="E263" s="1" t="s">
        <v>5</v>
      </c>
    </row>
    <row r="264" spans="1:5" x14ac:dyDescent="0.25">
      <c r="A264" s="1" t="str">
        <f t="shared" si="4"/>
        <v>MD Celtic Insurance Company</v>
      </c>
      <c r="B264" s="1" t="s">
        <v>144</v>
      </c>
      <c r="C264" s="1" t="s">
        <v>586</v>
      </c>
      <c r="D264" s="1" t="s">
        <v>7</v>
      </c>
      <c r="E264" s="1" t="s">
        <v>8</v>
      </c>
    </row>
    <row r="265" spans="1:5" x14ac:dyDescent="0.25">
      <c r="A265" s="1" t="str">
        <f t="shared" si="4"/>
        <v>MD Connecticut General Life Insurance Company</v>
      </c>
      <c r="B265" s="1" t="s">
        <v>144</v>
      </c>
      <c r="C265" s="1" t="s">
        <v>586</v>
      </c>
      <c r="D265" s="1" t="s">
        <v>9</v>
      </c>
      <c r="E265" s="1" t="s">
        <v>10</v>
      </c>
    </row>
    <row r="266" spans="1:5" x14ac:dyDescent="0.25">
      <c r="A266" s="1" t="str">
        <f t="shared" si="4"/>
        <v>MD Coventry Health &amp; Life Insuance Company</v>
      </c>
      <c r="B266" s="1" t="s">
        <v>144</v>
      </c>
      <c r="C266" s="1" t="s">
        <v>586</v>
      </c>
      <c r="D266" s="1" t="s">
        <v>35</v>
      </c>
      <c r="E266" s="1" t="s">
        <v>36</v>
      </c>
    </row>
    <row r="267" spans="1:5" x14ac:dyDescent="0.25">
      <c r="A267" s="1" t="str">
        <f t="shared" si="4"/>
        <v>MD Coventry Health Care of Delaware, Inc.</v>
      </c>
      <c r="B267" s="1" t="s">
        <v>144</v>
      </c>
      <c r="C267" s="1" t="s">
        <v>586</v>
      </c>
      <c r="D267" s="1" t="s">
        <v>145</v>
      </c>
      <c r="E267" s="1" t="s">
        <v>122</v>
      </c>
    </row>
    <row r="268" spans="1:5" x14ac:dyDescent="0.25">
      <c r="A268" s="1" t="str">
        <f t="shared" si="4"/>
        <v>MD Humana Insurance Company, Inc.</v>
      </c>
      <c r="B268" s="1" t="s">
        <v>144</v>
      </c>
      <c r="C268" s="1" t="s">
        <v>586</v>
      </c>
      <c r="D268" s="1" t="s">
        <v>15</v>
      </c>
      <c r="E268" s="1" t="s">
        <v>14</v>
      </c>
    </row>
    <row r="269" spans="1:5" x14ac:dyDescent="0.25">
      <c r="A269" s="1" t="str">
        <f t="shared" si="4"/>
        <v>MD Kaiser Foundation Health Plan of Mid-Atlantic States, Inc.</v>
      </c>
      <c r="B269" s="1" t="s">
        <v>144</v>
      </c>
      <c r="C269" s="1" t="s">
        <v>586</v>
      </c>
      <c r="D269" s="1" t="s">
        <v>71</v>
      </c>
      <c r="E269" s="1" t="s">
        <v>56</v>
      </c>
    </row>
    <row r="270" spans="1:5" x14ac:dyDescent="0.25">
      <c r="A270" s="1" t="str">
        <f t="shared" si="4"/>
        <v>MD PacifiCare Life and Health Insurance Co</v>
      </c>
      <c r="B270" s="1" t="s">
        <v>144</v>
      </c>
      <c r="C270" s="1" t="s">
        <v>586</v>
      </c>
      <c r="D270" s="1" t="s">
        <v>66</v>
      </c>
      <c r="E270" s="1" t="s">
        <v>32</v>
      </c>
    </row>
    <row r="271" spans="1:5" x14ac:dyDescent="0.25">
      <c r="A271" s="1" t="str">
        <f t="shared" si="4"/>
        <v>MD UNICARE Life &amp; Health Insurance Company</v>
      </c>
      <c r="B271" s="1" t="s">
        <v>144</v>
      </c>
      <c r="C271" s="1" t="s">
        <v>586</v>
      </c>
      <c r="D271" s="1" t="s">
        <v>16</v>
      </c>
      <c r="E271" s="1" t="s">
        <v>17</v>
      </c>
    </row>
    <row r="272" spans="1:5" x14ac:dyDescent="0.25">
      <c r="A272" s="1" t="str">
        <f t="shared" si="4"/>
        <v>MD United American Insurance Co</v>
      </c>
      <c r="B272" s="1" t="s">
        <v>144</v>
      </c>
      <c r="C272" s="1" t="s">
        <v>586</v>
      </c>
      <c r="D272" s="1" t="s">
        <v>18</v>
      </c>
      <c r="E272" s="1" t="s">
        <v>19</v>
      </c>
    </row>
    <row r="273" spans="1:5" x14ac:dyDescent="0.25">
      <c r="A273" s="1" t="str">
        <f t="shared" si="4"/>
        <v>MD UnitedHealthcare Insurance Company</v>
      </c>
      <c r="B273" s="1" t="s">
        <v>144</v>
      </c>
      <c r="C273" s="1" t="s">
        <v>586</v>
      </c>
      <c r="D273" s="1" t="s">
        <v>20</v>
      </c>
      <c r="E273" s="1" t="s">
        <v>21</v>
      </c>
    </row>
    <row r="274" spans="1:5" x14ac:dyDescent="0.25">
      <c r="A274" s="1" t="str">
        <f t="shared" si="4"/>
        <v>MD UnitedHealthcare of the Mid-Atlantic, Inc.</v>
      </c>
      <c r="B274" s="1" t="s">
        <v>144</v>
      </c>
      <c r="C274" s="1" t="s">
        <v>586</v>
      </c>
      <c r="D274" s="1" t="s">
        <v>146</v>
      </c>
      <c r="E274" s="1" t="s">
        <v>21</v>
      </c>
    </row>
    <row r="275" spans="1:5" x14ac:dyDescent="0.25">
      <c r="A275" s="1" t="str">
        <f t="shared" si="4"/>
        <v>MA Aetna Health Inc. (a Pennsylvania corporation)</v>
      </c>
      <c r="B275" s="1" t="s">
        <v>147</v>
      </c>
      <c r="C275" s="1" t="s">
        <v>569</v>
      </c>
      <c r="D275" s="1" t="s">
        <v>26</v>
      </c>
      <c r="E275" s="1" t="s">
        <v>5</v>
      </c>
    </row>
    <row r="276" spans="1:5" x14ac:dyDescent="0.25">
      <c r="A276" s="1" t="str">
        <f t="shared" si="4"/>
        <v>MA Aetna Life Insurance Company</v>
      </c>
      <c r="B276" s="1" t="s">
        <v>147</v>
      </c>
      <c r="C276" s="1" t="s">
        <v>569</v>
      </c>
      <c r="D276" s="1" t="s">
        <v>4</v>
      </c>
      <c r="E276" s="1" t="s">
        <v>5</v>
      </c>
    </row>
    <row r="277" spans="1:5" x14ac:dyDescent="0.25">
      <c r="A277" s="1" t="str">
        <f t="shared" si="4"/>
        <v>MA Blue Cross and Blue Shield of Massachusetts HMO Blue, Inc.</v>
      </c>
      <c r="B277" s="1" t="s">
        <v>147</v>
      </c>
      <c r="C277" s="1" t="s">
        <v>569</v>
      </c>
      <c r="D277" s="1" t="s">
        <v>148</v>
      </c>
      <c r="E277" s="1" t="s">
        <v>149</v>
      </c>
    </row>
    <row r="278" spans="1:5" x14ac:dyDescent="0.25">
      <c r="A278" s="1" t="str">
        <f t="shared" si="4"/>
        <v>MA Blue Cross and Blue Shield of Massachusetts, Inc.</v>
      </c>
      <c r="B278" s="1" t="s">
        <v>147</v>
      </c>
      <c r="C278" s="1" t="s">
        <v>569</v>
      </c>
      <c r="D278" s="1" t="s">
        <v>150</v>
      </c>
      <c r="E278" s="1" t="s">
        <v>149</v>
      </c>
    </row>
    <row r="279" spans="1:5" x14ac:dyDescent="0.25">
      <c r="A279" s="1" t="str">
        <f t="shared" si="4"/>
        <v>MA CeltiCare Health Plan of MA</v>
      </c>
      <c r="B279" s="1" t="s">
        <v>147</v>
      </c>
      <c r="C279" s="1" t="s">
        <v>569</v>
      </c>
      <c r="D279" s="1" t="s">
        <v>151</v>
      </c>
      <c r="E279" s="1" t="s">
        <v>8</v>
      </c>
    </row>
    <row r="280" spans="1:5" x14ac:dyDescent="0.25">
      <c r="A280" s="1" t="str">
        <f t="shared" si="4"/>
        <v>MA Connecticut General Life Insurance Company</v>
      </c>
      <c r="B280" s="1" t="s">
        <v>147</v>
      </c>
      <c r="C280" s="1" t="s">
        <v>569</v>
      </c>
      <c r="D280" s="1" t="s">
        <v>9</v>
      </c>
      <c r="E280" s="1" t="s">
        <v>10</v>
      </c>
    </row>
    <row r="281" spans="1:5" x14ac:dyDescent="0.25">
      <c r="A281" s="1" t="str">
        <f t="shared" si="4"/>
        <v>MA Fallon Community Health Plan</v>
      </c>
      <c r="B281" s="1" t="s">
        <v>147</v>
      </c>
      <c r="C281" s="1" t="s">
        <v>569</v>
      </c>
      <c r="D281" s="1" t="s">
        <v>152</v>
      </c>
      <c r="E281" s="1" t="s">
        <v>153</v>
      </c>
    </row>
    <row r="282" spans="1:5" x14ac:dyDescent="0.25">
      <c r="A282" s="1" t="str">
        <f t="shared" si="4"/>
        <v>MA Health New England, Inc</v>
      </c>
      <c r="B282" s="1" t="s">
        <v>147</v>
      </c>
      <c r="C282" s="1" t="s">
        <v>569</v>
      </c>
      <c r="D282" s="1" t="s">
        <v>154</v>
      </c>
      <c r="E282" s="1" t="s">
        <v>155</v>
      </c>
    </row>
    <row r="283" spans="1:5" x14ac:dyDescent="0.25">
      <c r="A283" s="1" t="str">
        <f t="shared" si="4"/>
        <v>MA Humana Insurance Company, Inc.</v>
      </c>
      <c r="B283" s="1" t="s">
        <v>147</v>
      </c>
      <c r="C283" s="1" t="s">
        <v>569</v>
      </c>
      <c r="D283" s="1" t="s">
        <v>15</v>
      </c>
      <c r="E283" s="1" t="s">
        <v>14</v>
      </c>
    </row>
    <row r="284" spans="1:5" x14ac:dyDescent="0.25">
      <c r="A284" s="1" t="str">
        <f t="shared" si="4"/>
        <v>MA Neighborhood Health Plan, Inc.</v>
      </c>
      <c r="B284" s="1" t="s">
        <v>147</v>
      </c>
      <c r="C284" s="1" t="s">
        <v>569</v>
      </c>
      <c r="D284" s="1" t="s">
        <v>156</v>
      </c>
    </row>
    <row r="285" spans="1:5" x14ac:dyDescent="0.25">
      <c r="A285" s="1" t="str">
        <f t="shared" si="4"/>
        <v>MA Tufts Associated Health Maintenance Organization, Inc.</v>
      </c>
      <c r="B285" s="1" t="s">
        <v>147</v>
      </c>
      <c r="C285" s="1" t="s">
        <v>569</v>
      </c>
      <c r="D285" s="1" t="s">
        <v>157</v>
      </c>
      <c r="E285" s="1" t="s">
        <v>68</v>
      </c>
    </row>
    <row r="286" spans="1:5" x14ac:dyDescent="0.25">
      <c r="A286" s="1" t="str">
        <f t="shared" si="4"/>
        <v>MA Tufts Insurance Company</v>
      </c>
      <c r="B286" s="1" t="s">
        <v>147</v>
      </c>
      <c r="C286" s="1" t="s">
        <v>569</v>
      </c>
      <c r="D286" s="1" t="s">
        <v>67</v>
      </c>
      <c r="E286" s="1" t="s">
        <v>68</v>
      </c>
    </row>
    <row r="287" spans="1:5" x14ac:dyDescent="0.25">
      <c r="A287" s="1" t="str">
        <f t="shared" si="4"/>
        <v>MA UNICARE Life &amp; Health Insurance Company</v>
      </c>
      <c r="B287" s="1" t="s">
        <v>147</v>
      </c>
      <c r="C287" s="1" t="s">
        <v>569</v>
      </c>
      <c r="D287" s="1" t="s">
        <v>16</v>
      </c>
      <c r="E287" s="1" t="s">
        <v>17</v>
      </c>
    </row>
    <row r="288" spans="1:5" x14ac:dyDescent="0.25">
      <c r="A288" s="1" t="str">
        <f t="shared" si="4"/>
        <v>MA United American Insurance Co</v>
      </c>
      <c r="B288" s="1" t="s">
        <v>147</v>
      </c>
      <c r="C288" s="1" t="s">
        <v>569</v>
      </c>
      <c r="D288" s="1" t="s">
        <v>18</v>
      </c>
      <c r="E288" s="1" t="s">
        <v>19</v>
      </c>
    </row>
    <row r="289" spans="1:5" x14ac:dyDescent="0.25">
      <c r="A289" s="1" t="str">
        <f t="shared" si="4"/>
        <v>MA UnitedHealthcare Insurance Company</v>
      </c>
      <c r="B289" s="1" t="s">
        <v>147</v>
      </c>
      <c r="C289" s="1" t="s">
        <v>569</v>
      </c>
      <c r="D289" s="1" t="s">
        <v>20</v>
      </c>
      <c r="E289" s="1" t="s">
        <v>21</v>
      </c>
    </row>
    <row r="290" spans="1:5" x14ac:dyDescent="0.25">
      <c r="A290" s="1" t="str">
        <f t="shared" si="4"/>
        <v>MI Aetna Life Insurance Company</v>
      </c>
      <c r="B290" s="1" t="s">
        <v>158</v>
      </c>
      <c r="C290" s="1" t="s">
        <v>592</v>
      </c>
      <c r="D290" s="1" t="s">
        <v>4</v>
      </c>
      <c r="E290" s="1" t="s">
        <v>5</v>
      </c>
    </row>
    <row r="291" spans="1:5" x14ac:dyDescent="0.25">
      <c r="A291" s="1" t="str">
        <f t="shared" si="4"/>
        <v>MI Alliance Health and Life Insurance Company</v>
      </c>
      <c r="B291" s="1" t="s">
        <v>158</v>
      </c>
      <c r="C291" s="1" t="s">
        <v>592</v>
      </c>
      <c r="D291" s="1" t="s">
        <v>159</v>
      </c>
      <c r="E291" s="1" t="s">
        <v>160</v>
      </c>
    </row>
    <row r="292" spans="1:5" x14ac:dyDescent="0.25">
      <c r="A292" s="1" t="str">
        <f t="shared" si="4"/>
        <v>MI Blue Care Network</v>
      </c>
      <c r="B292" s="1" t="s">
        <v>158</v>
      </c>
      <c r="C292" s="1" t="s">
        <v>592</v>
      </c>
      <c r="D292" s="1" t="s">
        <v>161</v>
      </c>
      <c r="E292" s="1" t="s">
        <v>162</v>
      </c>
    </row>
    <row r="293" spans="1:5" x14ac:dyDescent="0.25">
      <c r="A293" s="1" t="str">
        <f t="shared" si="4"/>
        <v>MI Blue Cross Blue Shield of Michigan</v>
      </c>
      <c r="B293" s="1" t="s">
        <v>158</v>
      </c>
      <c r="C293" s="1" t="s">
        <v>592</v>
      </c>
      <c r="D293" s="1" t="s">
        <v>163</v>
      </c>
      <c r="E293" s="1" t="s">
        <v>163</v>
      </c>
    </row>
    <row r="294" spans="1:5" x14ac:dyDescent="0.25">
      <c r="A294" s="1" t="str">
        <f t="shared" si="4"/>
        <v>MI Celtic Insurance Company</v>
      </c>
      <c r="B294" s="1" t="s">
        <v>158</v>
      </c>
      <c r="C294" s="1" t="s">
        <v>592</v>
      </c>
      <c r="D294" s="1" t="s">
        <v>7</v>
      </c>
      <c r="E294" s="1" t="s">
        <v>8</v>
      </c>
    </row>
    <row r="295" spans="1:5" x14ac:dyDescent="0.25">
      <c r="A295" s="1" t="str">
        <f t="shared" si="4"/>
        <v>MI Connecticut General Life Insurance Company</v>
      </c>
      <c r="B295" s="1" t="s">
        <v>158</v>
      </c>
      <c r="C295" s="1" t="s">
        <v>592</v>
      </c>
      <c r="D295" s="1" t="s">
        <v>9</v>
      </c>
      <c r="E295" s="1" t="s">
        <v>10</v>
      </c>
    </row>
    <row r="296" spans="1:5" x14ac:dyDescent="0.25">
      <c r="A296" s="1" t="str">
        <f t="shared" si="4"/>
        <v>MI Grand Valley Health Plan</v>
      </c>
      <c r="B296" s="1" t="s">
        <v>158</v>
      </c>
      <c r="C296" s="1" t="s">
        <v>592</v>
      </c>
      <c r="D296" s="1" t="s">
        <v>164</v>
      </c>
    </row>
    <row r="297" spans="1:5" x14ac:dyDescent="0.25">
      <c r="A297" s="1" t="str">
        <f t="shared" si="4"/>
        <v>MI Health Alliance Plan of Michigan</v>
      </c>
      <c r="B297" s="1" t="s">
        <v>158</v>
      </c>
      <c r="C297" s="1" t="s">
        <v>592</v>
      </c>
      <c r="D297" s="1" t="s">
        <v>165</v>
      </c>
      <c r="E297" s="1" t="s">
        <v>160</v>
      </c>
    </row>
    <row r="298" spans="1:5" x14ac:dyDescent="0.25">
      <c r="A298" s="1" t="str">
        <f t="shared" si="4"/>
        <v>MI HealthPlus Insurance Company</v>
      </c>
      <c r="B298" s="1" t="s">
        <v>158</v>
      </c>
      <c r="C298" s="1" t="s">
        <v>592</v>
      </c>
      <c r="D298" s="1" t="s">
        <v>166</v>
      </c>
      <c r="E298" s="1" t="s">
        <v>167</v>
      </c>
    </row>
    <row r="299" spans="1:5" x14ac:dyDescent="0.25">
      <c r="A299" s="1" t="str">
        <f t="shared" si="4"/>
        <v>MI HealthPlus of Michigan, Inc.</v>
      </c>
      <c r="B299" s="1" t="s">
        <v>158</v>
      </c>
      <c r="C299" s="1" t="s">
        <v>592</v>
      </c>
      <c r="D299" s="1" t="s">
        <v>167</v>
      </c>
      <c r="E299" s="1" t="s">
        <v>167</v>
      </c>
    </row>
    <row r="300" spans="1:5" x14ac:dyDescent="0.25">
      <c r="A300" s="1" t="str">
        <f t="shared" si="4"/>
        <v>MI Humana Insurance Company, Inc.</v>
      </c>
      <c r="B300" s="1" t="s">
        <v>158</v>
      </c>
      <c r="C300" s="1" t="s">
        <v>592</v>
      </c>
      <c r="D300" s="1" t="s">
        <v>15</v>
      </c>
      <c r="E300" s="1" t="s">
        <v>14</v>
      </c>
    </row>
    <row r="301" spans="1:5" x14ac:dyDescent="0.25">
      <c r="A301" s="1" t="str">
        <f t="shared" si="4"/>
        <v>MI McLaren Health Plan</v>
      </c>
      <c r="B301" s="1" t="s">
        <v>158</v>
      </c>
      <c r="C301" s="1" t="s">
        <v>592</v>
      </c>
      <c r="D301" s="1" t="s">
        <v>168</v>
      </c>
      <c r="E301" s="1" t="s">
        <v>169</v>
      </c>
    </row>
    <row r="302" spans="1:5" x14ac:dyDescent="0.25">
      <c r="A302" s="1" t="str">
        <f t="shared" si="4"/>
        <v>MI Paramount Care of Michigan</v>
      </c>
      <c r="B302" s="1" t="s">
        <v>158</v>
      </c>
      <c r="C302" s="1" t="s">
        <v>592</v>
      </c>
      <c r="D302" s="1" t="s">
        <v>170</v>
      </c>
    </row>
    <row r="303" spans="1:5" x14ac:dyDescent="0.25">
      <c r="A303" s="1" t="str">
        <f t="shared" si="4"/>
        <v>MI Priority Health</v>
      </c>
      <c r="B303" s="1" t="s">
        <v>158</v>
      </c>
      <c r="C303" s="1" t="s">
        <v>592</v>
      </c>
      <c r="D303" s="1" t="s">
        <v>171</v>
      </c>
      <c r="E303" s="1" t="s">
        <v>172</v>
      </c>
    </row>
    <row r="304" spans="1:5" x14ac:dyDescent="0.25">
      <c r="A304" s="1" t="str">
        <f t="shared" si="4"/>
        <v>MI Priority Health Insurance Company, Inc</v>
      </c>
      <c r="B304" s="1" t="s">
        <v>158</v>
      </c>
      <c r="C304" s="1" t="s">
        <v>592</v>
      </c>
      <c r="D304" s="1" t="s">
        <v>173</v>
      </c>
      <c r="E304" s="1" t="s">
        <v>172</v>
      </c>
    </row>
    <row r="305" spans="1:5" x14ac:dyDescent="0.25">
      <c r="A305" s="1" t="str">
        <f t="shared" si="4"/>
        <v>MI Total Health Care USA, Inc.</v>
      </c>
      <c r="B305" s="1" t="s">
        <v>158</v>
      </c>
      <c r="C305" s="1" t="s">
        <v>592</v>
      </c>
      <c r="D305" s="1" t="s">
        <v>174</v>
      </c>
      <c r="E305" s="1" t="s">
        <v>175</v>
      </c>
    </row>
    <row r="306" spans="1:5" x14ac:dyDescent="0.25">
      <c r="A306" s="1" t="str">
        <f t="shared" si="4"/>
        <v>MI Total Health Care, Inc.</v>
      </c>
      <c r="B306" s="1" t="s">
        <v>158</v>
      </c>
      <c r="C306" s="1" t="s">
        <v>592</v>
      </c>
      <c r="D306" s="1" t="s">
        <v>175</v>
      </c>
      <c r="E306" s="1" t="s">
        <v>175</v>
      </c>
    </row>
    <row r="307" spans="1:5" x14ac:dyDescent="0.25">
      <c r="A307" s="1" t="str">
        <f t="shared" si="4"/>
        <v>MI UNICARE Life &amp; Health Insurance Company</v>
      </c>
      <c r="B307" s="1" t="s">
        <v>158</v>
      </c>
      <c r="C307" s="1" t="s">
        <v>592</v>
      </c>
      <c r="D307" s="1" t="s">
        <v>16</v>
      </c>
      <c r="E307" s="1" t="s">
        <v>17</v>
      </c>
    </row>
    <row r="308" spans="1:5" x14ac:dyDescent="0.25">
      <c r="A308" s="1" t="str">
        <f t="shared" si="4"/>
        <v>MI United American Insurance Co</v>
      </c>
      <c r="B308" s="1" t="s">
        <v>158</v>
      </c>
      <c r="C308" s="1" t="s">
        <v>592</v>
      </c>
      <c r="D308" s="1" t="s">
        <v>18</v>
      </c>
      <c r="E308" s="1" t="s">
        <v>19</v>
      </c>
    </row>
    <row r="309" spans="1:5" x14ac:dyDescent="0.25">
      <c r="A309" s="1" t="str">
        <f t="shared" si="4"/>
        <v>MI UnitedHealthcare Insurance Company</v>
      </c>
      <c r="B309" s="1" t="s">
        <v>158</v>
      </c>
      <c r="C309" s="1" t="s">
        <v>592</v>
      </c>
      <c r="D309" s="1" t="s">
        <v>20</v>
      </c>
      <c r="E309" s="1" t="s">
        <v>21</v>
      </c>
    </row>
    <row r="310" spans="1:5" x14ac:dyDescent="0.25">
      <c r="A310" s="1" t="str">
        <f t="shared" si="4"/>
        <v>MN Aetna Life Insurance Company</v>
      </c>
      <c r="B310" s="1" t="s">
        <v>176</v>
      </c>
      <c r="C310" s="1" t="s">
        <v>608</v>
      </c>
      <c r="D310" s="1" t="s">
        <v>4</v>
      </c>
      <c r="E310" s="1" t="s">
        <v>5</v>
      </c>
    </row>
    <row r="311" spans="1:5" x14ac:dyDescent="0.25">
      <c r="A311" s="1" t="str">
        <f t="shared" si="4"/>
        <v>MN BCBSM, INC.</v>
      </c>
      <c r="B311" s="1" t="s">
        <v>176</v>
      </c>
      <c r="C311" s="1" t="s">
        <v>608</v>
      </c>
      <c r="D311" s="1" t="s">
        <v>177</v>
      </c>
      <c r="E311" s="1" t="s">
        <v>178</v>
      </c>
    </row>
    <row r="312" spans="1:5" x14ac:dyDescent="0.25">
      <c r="A312" s="1" t="str">
        <f t="shared" si="4"/>
        <v>MN Connecticut General Life Insurance Company</v>
      </c>
      <c r="B312" s="1" t="s">
        <v>176</v>
      </c>
      <c r="C312" s="1" t="s">
        <v>608</v>
      </c>
      <c r="D312" s="1" t="s">
        <v>9</v>
      </c>
      <c r="E312" s="1" t="s">
        <v>10</v>
      </c>
    </row>
    <row r="313" spans="1:5" x14ac:dyDescent="0.25">
      <c r="A313" s="1" t="str">
        <f t="shared" si="4"/>
        <v>MN Group Health Plan, Inc.</v>
      </c>
      <c r="B313" s="1" t="s">
        <v>176</v>
      </c>
      <c r="C313" s="1" t="s">
        <v>608</v>
      </c>
      <c r="D313" s="1" t="s">
        <v>179</v>
      </c>
    </row>
    <row r="314" spans="1:5" x14ac:dyDescent="0.25">
      <c r="A314" s="1" t="str">
        <f t="shared" si="4"/>
        <v>MN HealthPartners, Inc.</v>
      </c>
      <c r="B314" s="1" t="s">
        <v>176</v>
      </c>
      <c r="C314" s="1" t="s">
        <v>608</v>
      </c>
      <c r="D314" s="1" t="s">
        <v>181</v>
      </c>
    </row>
    <row r="315" spans="1:5" x14ac:dyDescent="0.25">
      <c r="A315" s="1" t="str">
        <f t="shared" si="4"/>
        <v>MN HMO Minnesota</v>
      </c>
      <c r="B315" s="1" t="s">
        <v>176</v>
      </c>
      <c r="C315" s="1" t="s">
        <v>608</v>
      </c>
      <c r="D315" s="1" t="s">
        <v>180</v>
      </c>
      <c r="E315" s="1" t="s">
        <v>178</v>
      </c>
    </row>
    <row r="316" spans="1:5" x14ac:dyDescent="0.25">
      <c r="A316" s="1" t="str">
        <f t="shared" si="4"/>
        <v>MN Humana Insurance Company, Inc.</v>
      </c>
      <c r="B316" s="1" t="s">
        <v>176</v>
      </c>
      <c r="C316" s="1" t="s">
        <v>608</v>
      </c>
      <c r="D316" s="1" t="s">
        <v>15</v>
      </c>
      <c r="E316" s="1" t="s">
        <v>14</v>
      </c>
    </row>
    <row r="317" spans="1:5" x14ac:dyDescent="0.25">
      <c r="A317" s="1" t="str">
        <f t="shared" si="4"/>
        <v>MN Medica Health Plans</v>
      </c>
      <c r="B317" s="1" t="s">
        <v>176</v>
      </c>
      <c r="C317" s="1" t="s">
        <v>608</v>
      </c>
      <c r="D317" s="1" t="s">
        <v>182</v>
      </c>
      <c r="E317" s="1" t="s">
        <v>183</v>
      </c>
    </row>
    <row r="318" spans="1:5" x14ac:dyDescent="0.25">
      <c r="A318" s="1" t="str">
        <f t="shared" si="4"/>
        <v>MN Medica Insurance Company</v>
      </c>
      <c r="B318" s="1" t="s">
        <v>176</v>
      </c>
      <c r="C318" s="1" t="s">
        <v>608</v>
      </c>
      <c r="D318" s="1" t="s">
        <v>184</v>
      </c>
      <c r="E318" s="1" t="s">
        <v>183</v>
      </c>
    </row>
    <row r="319" spans="1:5" x14ac:dyDescent="0.25">
      <c r="A319" s="1" t="str">
        <f t="shared" si="4"/>
        <v>MN UNICARE Life &amp; Health Insurance Company</v>
      </c>
      <c r="B319" s="1" t="s">
        <v>176</v>
      </c>
      <c r="C319" s="1" t="s">
        <v>608</v>
      </c>
      <c r="D319" s="1" t="s">
        <v>16</v>
      </c>
      <c r="E319" s="1" t="s">
        <v>17</v>
      </c>
    </row>
    <row r="320" spans="1:5" x14ac:dyDescent="0.25">
      <c r="A320" s="1" t="str">
        <f t="shared" si="4"/>
        <v>MN United American Insurance Co</v>
      </c>
      <c r="B320" s="1" t="s">
        <v>176</v>
      </c>
      <c r="C320" s="1" t="s">
        <v>608</v>
      </c>
      <c r="D320" s="1" t="s">
        <v>18</v>
      </c>
      <c r="E320" s="1" t="s">
        <v>19</v>
      </c>
    </row>
    <row r="321" spans="1:5" x14ac:dyDescent="0.25">
      <c r="A321" s="1" t="str">
        <f t="shared" si="4"/>
        <v>MN UnitedHealthcare Insurance Company</v>
      </c>
      <c r="B321" s="1" t="s">
        <v>176</v>
      </c>
      <c r="C321" s="1" t="s">
        <v>608</v>
      </c>
      <c r="D321" s="1" t="s">
        <v>20</v>
      </c>
      <c r="E321" s="1" t="s">
        <v>21</v>
      </c>
    </row>
    <row r="322" spans="1:5" x14ac:dyDescent="0.25">
      <c r="A322" s="1" t="str">
        <f t="shared" si="4"/>
        <v>MS Aetna Life Insurance Company</v>
      </c>
      <c r="B322" s="1" t="s">
        <v>185</v>
      </c>
      <c r="C322" s="1" t="s">
        <v>626</v>
      </c>
      <c r="D322" s="1" t="s">
        <v>4</v>
      </c>
      <c r="E322" s="1" t="s">
        <v>5</v>
      </c>
    </row>
    <row r="323" spans="1:5" x14ac:dyDescent="0.25">
      <c r="A323" s="1" t="str">
        <f t="shared" ref="A323:A386" si="5">C323&amp;" "&amp;D323</f>
        <v>MS Celtic Insurance Company</v>
      </c>
      <c r="B323" s="1" t="s">
        <v>185</v>
      </c>
      <c r="C323" s="1" t="s">
        <v>626</v>
      </c>
      <c r="D323" s="1" t="s">
        <v>7</v>
      </c>
      <c r="E323" s="1" t="s">
        <v>8</v>
      </c>
    </row>
    <row r="324" spans="1:5" x14ac:dyDescent="0.25">
      <c r="A324" s="1" t="str">
        <f t="shared" si="5"/>
        <v>MS Connecticut General Life Insurance Company</v>
      </c>
      <c r="B324" s="1" t="s">
        <v>185</v>
      </c>
      <c r="C324" s="1" t="s">
        <v>626</v>
      </c>
      <c r="D324" s="1" t="s">
        <v>9</v>
      </c>
      <c r="E324" s="1" t="s">
        <v>10</v>
      </c>
    </row>
    <row r="325" spans="1:5" x14ac:dyDescent="0.25">
      <c r="A325" s="1" t="str">
        <f t="shared" si="5"/>
        <v>MS Coventry Health &amp; Life Insuance Company</v>
      </c>
      <c r="B325" s="1" t="s">
        <v>185</v>
      </c>
      <c r="C325" s="1" t="s">
        <v>626</v>
      </c>
      <c r="D325" s="1" t="s">
        <v>35</v>
      </c>
      <c r="E325" s="1" t="s">
        <v>36</v>
      </c>
    </row>
    <row r="326" spans="1:5" x14ac:dyDescent="0.25">
      <c r="A326" s="1" t="str">
        <f t="shared" si="5"/>
        <v>MS HealthSpring of TN, Inc</v>
      </c>
      <c r="B326" s="1" t="s">
        <v>185</v>
      </c>
      <c r="C326" s="1" t="s">
        <v>626</v>
      </c>
      <c r="D326" s="1" t="s">
        <v>111</v>
      </c>
      <c r="E326" s="1" t="s">
        <v>12</v>
      </c>
    </row>
    <row r="327" spans="1:5" x14ac:dyDescent="0.25">
      <c r="A327" s="1" t="str">
        <f t="shared" si="5"/>
        <v>MS Humana Insurance Company, Inc.</v>
      </c>
      <c r="B327" s="1" t="s">
        <v>185</v>
      </c>
      <c r="C327" s="1" t="s">
        <v>626</v>
      </c>
      <c r="D327" s="1" t="s">
        <v>15</v>
      </c>
      <c r="E327" s="1" t="s">
        <v>14</v>
      </c>
    </row>
    <row r="328" spans="1:5" x14ac:dyDescent="0.25">
      <c r="A328" s="1" t="str">
        <f t="shared" si="5"/>
        <v>MS Humana Medical Plan, Inc.</v>
      </c>
      <c r="B328" s="1" t="s">
        <v>185</v>
      </c>
      <c r="C328" s="1" t="s">
        <v>626</v>
      </c>
      <c r="D328" s="1" t="s">
        <v>86</v>
      </c>
      <c r="E328" s="1" t="s">
        <v>14</v>
      </c>
    </row>
    <row r="329" spans="1:5" x14ac:dyDescent="0.25">
      <c r="A329" s="1" t="str">
        <f t="shared" si="5"/>
        <v>MS PacifiCare Life and Health Insurance Co</v>
      </c>
      <c r="B329" s="1" t="s">
        <v>185</v>
      </c>
      <c r="C329" s="1" t="s">
        <v>626</v>
      </c>
      <c r="D329" s="1" t="s">
        <v>66</v>
      </c>
      <c r="E329" s="1" t="s">
        <v>32</v>
      </c>
    </row>
    <row r="330" spans="1:5" x14ac:dyDescent="0.25">
      <c r="A330" s="1" t="str">
        <f t="shared" si="5"/>
        <v>MS UNICARE Life &amp; Health Insurance Company</v>
      </c>
      <c r="B330" s="1" t="s">
        <v>185</v>
      </c>
      <c r="C330" s="1" t="s">
        <v>626</v>
      </c>
      <c r="D330" s="1" t="s">
        <v>16</v>
      </c>
      <c r="E330" s="1" t="s">
        <v>17</v>
      </c>
    </row>
    <row r="331" spans="1:5" x14ac:dyDescent="0.25">
      <c r="A331" s="1" t="str">
        <f t="shared" si="5"/>
        <v>MS United American Insurance Co</v>
      </c>
      <c r="B331" s="1" t="s">
        <v>185</v>
      </c>
      <c r="C331" s="1" t="s">
        <v>626</v>
      </c>
      <c r="D331" s="1" t="s">
        <v>18</v>
      </c>
      <c r="E331" s="1" t="s">
        <v>19</v>
      </c>
    </row>
    <row r="332" spans="1:5" x14ac:dyDescent="0.25">
      <c r="A332" s="1" t="str">
        <f t="shared" si="5"/>
        <v>MS UnitedHealthcare Insurance Company</v>
      </c>
      <c r="B332" s="1" t="s">
        <v>185</v>
      </c>
      <c r="C332" s="1" t="s">
        <v>626</v>
      </c>
      <c r="D332" s="1" t="s">
        <v>20</v>
      </c>
      <c r="E332" s="1" t="s">
        <v>21</v>
      </c>
    </row>
    <row r="333" spans="1:5" x14ac:dyDescent="0.25">
      <c r="A333" s="1" t="str">
        <f t="shared" si="5"/>
        <v>MS UnitedHealthcare of Mississippi, Inc.</v>
      </c>
      <c r="B333" s="1" t="s">
        <v>185</v>
      </c>
      <c r="C333" s="1" t="s">
        <v>626</v>
      </c>
      <c r="D333" s="1" t="s">
        <v>186</v>
      </c>
      <c r="E333" s="1" t="s">
        <v>21</v>
      </c>
    </row>
    <row r="334" spans="1:5" x14ac:dyDescent="0.25">
      <c r="A334" s="1" t="str">
        <f t="shared" si="5"/>
        <v>MO Aetna Life Insurance Company</v>
      </c>
      <c r="B334" s="1" t="s">
        <v>187</v>
      </c>
      <c r="C334" s="1" t="s">
        <v>621</v>
      </c>
      <c r="D334" s="1" t="s">
        <v>4</v>
      </c>
      <c r="E334" s="1" t="s">
        <v>5</v>
      </c>
    </row>
    <row r="335" spans="1:5" x14ac:dyDescent="0.25">
      <c r="A335" s="1" t="str">
        <f t="shared" si="5"/>
        <v>MO Celtic Insurance Company</v>
      </c>
      <c r="B335" s="1" t="s">
        <v>187</v>
      </c>
      <c r="C335" s="1" t="s">
        <v>621</v>
      </c>
      <c r="D335" s="1" t="s">
        <v>7</v>
      </c>
      <c r="E335" s="1" t="s">
        <v>8</v>
      </c>
    </row>
    <row r="336" spans="1:5" x14ac:dyDescent="0.25">
      <c r="A336" s="1" t="str">
        <f t="shared" si="5"/>
        <v>MO Connecticut General Life Insurance Company</v>
      </c>
      <c r="B336" s="1" t="s">
        <v>187</v>
      </c>
      <c r="C336" s="1" t="s">
        <v>621</v>
      </c>
      <c r="D336" s="1" t="s">
        <v>9</v>
      </c>
      <c r="E336" s="1" t="s">
        <v>10</v>
      </c>
    </row>
    <row r="337" spans="1:5" x14ac:dyDescent="0.25">
      <c r="A337" s="1" t="str">
        <f t="shared" si="5"/>
        <v>MO Coventry Health &amp; Life Insuance Company</v>
      </c>
      <c r="B337" s="1" t="s">
        <v>187</v>
      </c>
      <c r="C337" s="1" t="s">
        <v>621</v>
      </c>
      <c r="D337" s="1" t="s">
        <v>35</v>
      </c>
      <c r="E337" s="1" t="s">
        <v>36</v>
      </c>
    </row>
    <row r="338" spans="1:5" x14ac:dyDescent="0.25">
      <c r="A338" s="1" t="str">
        <f t="shared" si="5"/>
        <v>MO Coventry Health Care of Kansas, Inc.</v>
      </c>
      <c r="B338" s="1" t="s">
        <v>187</v>
      </c>
      <c r="C338" s="1" t="s">
        <v>621</v>
      </c>
      <c r="D338" s="1" t="s">
        <v>128</v>
      </c>
      <c r="E338" s="1" t="s">
        <v>122</v>
      </c>
    </row>
    <row r="339" spans="1:5" x14ac:dyDescent="0.25">
      <c r="A339" s="1" t="str">
        <f t="shared" si="5"/>
        <v>MO Coventry Health Care of Missouri, Inc.</v>
      </c>
      <c r="B339" s="1" t="s">
        <v>187</v>
      </c>
      <c r="C339" s="1" t="s">
        <v>621</v>
      </c>
      <c r="D339" s="1" t="s">
        <v>108</v>
      </c>
      <c r="E339" s="1" t="s">
        <v>36</v>
      </c>
    </row>
    <row r="340" spans="1:5" x14ac:dyDescent="0.25">
      <c r="A340" s="1" t="str">
        <f t="shared" si="5"/>
        <v>MO Healthy Alliance Life Insurance Company</v>
      </c>
      <c r="B340" s="1" t="s">
        <v>187</v>
      </c>
      <c r="C340" s="1" t="s">
        <v>621</v>
      </c>
      <c r="D340" s="1" t="s">
        <v>189</v>
      </c>
      <c r="E340" s="1" t="s">
        <v>41</v>
      </c>
    </row>
    <row r="341" spans="1:5" x14ac:dyDescent="0.25">
      <c r="A341" s="1" t="str">
        <f t="shared" si="5"/>
        <v>MO HMO Missouri, Inc.</v>
      </c>
      <c r="B341" s="1" t="s">
        <v>187</v>
      </c>
      <c r="C341" s="1" t="s">
        <v>621</v>
      </c>
      <c r="D341" s="1" t="s">
        <v>188</v>
      </c>
      <c r="E341" s="1" t="s">
        <v>41</v>
      </c>
    </row>
    <row r="342" spans="1:5" x14ac:dyDescent="0.25">
      <c r="A342" s="1" t="str">
        <f t="shared" si="5"/>
        <v>MO Humana Health Plan, Inc.</v>
      </c>
      <c r="B342" s="1" t="s">
        <v>187</v>
      </c>
      <c r="C342" s="1" t="s">
        <v>621</v>
      </c>
      <c r="D342" s="1" t="s">
        <v>13</v>
      </c>
      <c r="E342" s="1" t="s">
        <v>14</v>
      </c>
    </row>
    <row r="343" spans="1:5" x14ac:dyDescent="0.25">
      <c r="A343" s="1" t="str">
        <f t="shared" si="5"/>
        <v>MO Humana Insurance Company, Inc.</v>
      </c>
      <c r="B343" s="1" t="s">
        <v>187</v>
      </c>
      <c r="C343" s="1" t="s">
        <v>621</v>
      </c>
      <c r="D343" s="1" t="s">
        <v>15</v>
      </c>
      <c r="E343" s="1" t="s">
        <v>14</v>
      </c>
    </row>
    <row r="344" spans="1:5" x14ac:dyDescent="0.25">
      <c r="A344" s="1" t="str">
        <f t="shared" si="5"/>
        <v>MO PacifiCare Life and Health Insurance Co</v>
      </c>
      <c r="B344" s="1" t="s">
        <v>187</v>
      </c>
      <c r="C344" s="1" t="s">
        <v>621</v>
      </c>
      <c r="D344" s="1" t="s">
        <v>66</v>
      </c>
      <c r="E344" s="1" t="s">
        <v>32</v>
      </c>
    </row>
    <row r="345" spans="1:5" x14ac:dyDescent="0.25">
      <c r="A345" s="1" t="str">
        <f t="shared" si="5"/>
        <v>MO UNICARE Life &amp; Health Insurance Company</v>
      </c>
      <c r="B345" s="1" t="s">
        <v>187</v>
      </c>
      <c r="C345" s="1" t="s">
        <v>621</v>
      </c>
      <c r="D345" s="1" t="s">
        <v>16</v>
      </c>
      <c r="E345" s="1" t="s">
        <v>17</v>
      </c>
    </row>
    <row r="346" spans="1:5" x14ac:dyDescent="0.25">
      <c r="A346" s="1" t="str">
        <f t="shared" si="5"/>
        <v>MO United American Insurance Co</v>
      </c>
      <c r="B346" s="1" t="s">
        <v>187</v>
      </c>
      <c r="C346" s="1" t="s">
        <v>621</v>
      </c>
      <c r="D346" s="1" t="s">
        <v>18</v>
      </c>
      <c r="E346" s="1" t="s">
        <v>19</v>
      </c>
    </row>
    <row r="347" spans="1:5" x14ac:dyDescent="0.25">
      <c r="A347" s="1" t="str">
        <f t="shared" si="5"/>
        <v>MO UnitedHealthcare Insurance Company</v>
      </c>
      <c r="B347" s="1" t="s">
        <v>187</v>
      </c>
      <c r="C347" s="1" t="s">
        <v>621</v>
      </c>
      <c r="D347" s="1" t="s">
        <v>20</v>
      </c>
      <c r="E347" s="1" t="s">
        <v>21</v>
      </c>
    </row>
    <row r="348" spans="1:5" x14ac:dyDescent="0.25">
      <c r="A348" s="1" t="str">
        <f t="shared" si="5"/>
        <v>MO UnitedHealthcare of the Midwest, Inc.</v>
      </c>
      <c r="B348" s="1" t="s">
        <v>187</v>
      </c>
      <c r="C348" s="1" t="s">
        <v>621</v>
      </c>
      <c r="D348" s="1" t="s">
        <v>115</v>
      </c>
      <c r="E348" s="1" t="s">
        <v>21</v>
      </c>
    </row>
    <row r="349" spans="1:5" x14ac:dyDescent="0.25">
      <c r="A349" s="1" t="str">
        <f t="shared" si="5"/>
        <v>MT Aetna Life Insurance Company</v>
      </c>
      <c r="B349" s="1" t="s">
        <v>190</v>
      </c>
      <c r="C349" s="1" t="s">
        <v>628</v>
      </c>
      <c r="D349" s="1" t="s">
        <v>4</v>
      </c>
      <c r="E349" s="1" t="s">
        <v>5</v>
      </c>
    </row>
    <row r="350" spans="1:5" x14ac:dyDescent="0.25">
      <c r="A350" s="1" t="str">
        <f t="shared" si="5"/>
        <v>MT Blue Cross Blue Shield of Montana</v>
      </c>
      <c r="B350" s="1" t="s">
        <v>190</v>
      </c>
      <c r="C350" s="1" t="s">
        <v>628</v>
      </c>
      <c r="D350" s="1" t="s">
        <v>191</v>
      </c>
    </row>
    <row r="351" spans="1:5" x14ac:dyDescent="0.25">
      <c r="A351" s="1" t="str">
        <f t="shared" si="5"/>
        <v>MT Celtic Insurance Company</v>
      </c>
      <c r="B351" s="1" t="s">
        <v>190</v>
      </c>
      <c r="C351" s="1" t="s">
        <v>628</v>
      </c>
      <c r="D351" s="1" t="s">
        <v>7</v>
      </c>
      <c r="E351" s="1" t="s">
        <v>8</v>
      </c>
    </row>
    <row r="352" spans="1:5" x14ac:dyDescent="0.25">
      <c r="A352" s="1" t="str">
        <f t="shared" si="5"/>
        <v>MT Connecticut General Life Insurance Company</v>
      </c>
      <c r="B352" s="1" t="s">
        <v>190</v>
      </c>
      <c r="C352" s="1" t="s">
        <v>628</v>
      </c>
      <c r="D352" s="1" t="s">
        <v>9</v>
      </c>
      <c r="E352" s="1" t="s">
        <v>10</v>
      </c>
    </row>
    <row r="353" spans="1:5" x14ac:dyDescent="0.25">
      <c r="A353" s="1" t="str">
        <f t="shared" si="5"/>
        <v>MT Humana Insurance Company, Inc.</v>
      </c>
      <c r="B353" s="1" t="s">
        <v>190</v>
      </c>
      <c r="C353" s="1" t="s">
        <v>628</v>
      </c>
      <c r="D353" s="1" t="s">
        <v>15</v>
      </c>
      <c r="E353" s="1" t="s">
        <v>14</v>
      </c>
    </row>
    <row r="354" spans="1:5" x14ac:dyDescent="0.25">
      <c r="A354" s="1" t="str">
        <f t="shared" si="5"/>
        <v>MT New West Health Services</v>
      </c>
      <c r="B354" s="1" t="s">
        <v>190</v>
      </c>
      <c r="C354" s="1" t="s">
        <v>628</v>
      </c>
      <c r="D354" s="1" t="s">
        <v>192</v>
      </c>
    </row>
    <row r="355" spans="1:5" x14ac:dyDescent="0.25">
      <c r="A355" s="1" t="str">
        <f t="shared" si="5"/>
        <v>MT UNICARE Life &amp; Health Insurance Company</v>
      </c>
      <c r="B355" s="1" t="s">
        <v>190</v>
      </c>
      <c r="C355" s="1" t="s">
        <v>628</v>
      </c>
      <c r="D355" s="1" t="s">
        <v>16</v>
      </c>
      <c r="E355" s="1" t="s">
        <v>17</v>
      </c>
    </row>
    <row r="356" spans="1:5" x14ac:dyDescent="0.25">
      <c r="A356" s="1" t="str">
        <f t="shared" si="5"/>
        <v>MT United American Insurance Co</v>
      </c>
      <c r="B356" s="1" t="s">
        <v>190</v>
      </c>
      <c r="C356" s="1" t="s">
        <v>628</v>
      </c>
      <c r="D356" s="1" t="s">
        <v>18</v>
      </c>
      <c r="E356" s="1" t="s">
        <v>19</v>
      </c>
    </row>
    <row r="357" spans="1:5" x14ac:dyDescent="0.25">
      <c r="A357" s="1" t="str">
        <f t="shared" si="5"/>
        <v>MT UnitedHealthcare Insurance Company</v>
      </c>
      <c r="B357" s="1" t="s">
        <v>190</v>
      </c>
      <c r="C357" s="1" t="s">
        <v>628</v>
      </c>
      <c r="D357" s="1" t="s">
        <v>20</v>
      </c>
      <c r="E357" s="1" t="s">
        <v>21</v>
      </c>
    </row>
    <row r="358" spans="1:5" x14ac:dyDescent="0.25">
      <c r="A358" s="1" t="str">
        <f t="shared" si="5"/>
        <v>NE Aetna Life Insurance Company</v>
      </c>
      <c r="B358" s="1" t="s">
        <v>193</v>
      </c>
      <c r="C358" s="1" t="s">
        <v>638</v>
      </c>
      <c r="D358" s="1" t="s">
        <v>4</v>
      </c>
      <c r="E358" s="1" t="s">
        <v>5</v>
      </c>
    </row>
    <row r="359" spans="1:5" x14ac:dyDescent="0.25">
      <c r="A359" s="1" t="str">
        <f t="shared" si="5"/>
        <v>NE Blue Cross and Blue Shield of Nebraska</v>
      </c>
      <c r="B359" s="1" t="s">
        <v>193</v>
      </c>
      <c r="C359" s="1" t="s">
        <v>638</v>
      </c>
      <c r="D359" s="1" t="s">
        <v>194</v>
      </c>
      <c r="E359" s="1" t="s">
        <v>194</v>
      </c>
    </row>
    <row r="360" spans="1:5" x14ac:dyDescent="0.25">
      <c r="A360" s="1" t="str">
        <f t="shared" si="5"/>
        <v>NE Celtic Insurance Company</v>
      </c>
      <c r="B360" s="1" t="s">
        <v>193</v>
      </c>
      <c r="C360" s="1" t="s">
        <v>638</v>
      </c>
      <c r="D360" s="1" t="s">
        <v>7</v>
      </c>
      <c r="E360" s="1" t="s">
        <v>8</v>
      </c>
    </row>
    <row r="361" spans="1:5" x14ac:dyDescent="0.25">
      <c r="A361" s="1" t="str">
        <f t="shared" si="5"/>
        <v>NE Connecticut General Life Insurance Company</v>
      </c>
      <c r="B361" s="1" t="s">
        <v>193</v>
      </c>
      <c r="C361" s="1" t="s">
        <v>638</v>
      </c>
      <c r="D361" s="1" t="s">
        <v>9</v>
      </c>
      <c r="E361" s="1" t="s">
        <v>10</v>
      </c>
    </row>
    <row r="362" spans="1:5" x14ac:dyDescent="0.25">
      <c r="A362" s="1" t="str">
        <f t="shared" si="5"/>
        <v>NE Coventry Health &amp; Life Insuance Company</v>
      </c>
      <c r="B362" s="1" t="s">
        <v>193</v>
      </c>
      <c r="C362" s="1" t="s">
        <v>638</v>
      </c>
      <c r="D362" s="1" t="s">
        <v>35</v>
      </c>
      <c r="E362" s="1" t="s">
        <v>36</v>
      </c>
    </row>
    <row r="363" spans="1:5" x14ac:dyDescent="0.25">
      <c r="A363" s="1" t="str">
        <f t="shared" si="5"/>
        <v>NE Coventry Health Care, Inc</v>
      </c>
      <c r="B363" s="1" t="s">
        <v>193</v>
      </c>
      <c r="C363" s="1" t="s">
        <v>638</v>
      </c>
      <c r="D363" s="1" t="s">
        <v>195</v>
      </c>
      <c r="E363" s="1" t="s">
        <v>122</v>
      </c>
    </row>
    <row r="364" spans="1:5" x14ac:dyDescent="0.25">
      <c r="A364" s="1" t="str">
        <f t="shared" si="5"/>
        <v>NE Humana Health Plan, Inc.</v>
      </c>
      <c r="B364" s="1" t="s">
        <v>193</v>
      </c>
      <c r="C364" s="1" t="s">
        <v>638</v>
      </c>
      <c r="D364" s="1" t="s">
        <v>13</v>
      </c>
      <c r="E364" s="1" t="s">
        <v>14</v>
      </c>
    </row>
    <row r="365" spans="1:5" x14ac:dyDescent="0.25">
      <c r="A365" s="1" t="str">
        <f t="shared" si="5"/>
        <v>NE Humana Insurance Company, Inc.</v>
      </c>
      <c r="B365" s="1" t="s">
        <v>193</v>
      </c>
      <c r="C365" s="1" t="s">
        <v>638</v>
      </c>
      <c r="D365" s="1" t="s">
        <v>15</v>
      </c>
      <c r="E365" s="1" t="s">
        <v>14</v>
      </c>
    </row>
    <row r="366" spans="1:5" x14ac:dyDescent="0.25">
      <c r="A366" s="1" t="str">
        <f t="shared" si="5"/>
        <v>NE PacifiCare Life and Health Insurance Co</v>
      </c>
      <c r="B366" s="1" t="s">
        <v>193</v>
      </c>
      <c r="C366" s="1" t="s">
        <v>638</v>
      </c>
      <c r="D366" s="1" t="s">
        <v>66</v>
      </c>
      <c r="E366" s="1" t="s">
        <v>32</v>
      </c>
    </row>
    <row r="367" spans="1:5" x14ac:dyDescent="0.25">
      <c r="A367" s="1" t="str">
        <f t="shared" si="5"/>
        <v>NE UNICARE Life &amp; Health Insurance Company</v>
      </c>
      <c r="B367" s="1" t="s">
        <v>193</v>
      </c>
      <c r="C367" s="1" t="s">
        <v>638</v>
      </c>
      <c r="D367" s="1" t="s">
        <v>16</v>
      </c>
      <c r="E367" s="1" t="s">
        <v>17</v>
      </c>
    </row>
    <row r="368" spans="1:5" x14ac:dyDescent="0.25">
      <c r="A368" s="1" t="str">
        <f t="shared" si="5"/>
        <v>NE United American Insurance Co</v>
      </c>
      <c r="B368" s="1" t="s">
        <v>193</v>
      </c>
      <c r="C368" s="1" t="s">
        <v>638</v>
      </c>
      <c r="D368" s="1" t="s">
        <v>18</v>
      </c>
      <c r="E368" s="1" t="s">
        <v>19</v>
      </c>
    </row>
    <row r="369" spans="1:5" x14ac:dyDescent="0.25">
      <c r="A369" s="1" t="str">
        <f t="shared" si="5"/>
        <v>NE UnitedHealthcare Insurance Company</v>
      </c>
      <c r="B369" s="1" t="s">
        <v>193</v>
      </c>
      <c r="C369" s="1" t="s">
        <v>638</v>
      </c>
      <c r="D369" s="1" t="s">
        <v>20</v>
      </c>
      <c r="E369" s="1" t="s">
        <v>21</v>
      </c>
    </row>
    <row r="370" spans="1:5" x14ac:dyDescent="0.25">
      <c r="A370" s="1" t="str">
        <f t="shared" si="5"/>
        <v>NV Aetna Health Inc. (a Pennsylvania corporation)</v>
      </c>
      <c r="B370" s="1" t="s">
        <v>196</v>
      </c>
      <c r="C370" s="1" t="s">
        <v>660</v>
      </c>
      <c r="D370" s="1" t="s">
        <v>26</v>
      </c>
      <c r="E370" s="1" t="s">
        <v>5</v>
      </c>
    </row>
    <row r="371" spans="1:5" x14ac:dyDescent="0.25">
      <c r="A371" s="1" t="str">
        <f t="shared" si="5"/>
        <v>NV Aetna Life Insurance Company</v>
      </c>
      <c r="B371" s="1" t="s">
        <v>196</v>
      </c>
      <c r="C371" s="1" t="s">
        <v>660</v>
      </c>
      <c r="D371" s="1" t="s">
        <v>4</v>
      </c>
      <c r="E371" s="1" t="s">
        <v>5</v>
      </c>
    </row>
    <row r="372" spans="1:5" x14ac:dyDescent="0.25">
      <c r="A372" s="1" t="str">
        <f t="shared" si="5"/>
        <v>NV Celtic Insurance Company</v>
      </c>
      <c r="B372" s="1" t="s">
        <v>196</v>
      </c>
      <c r="C372" s="1" t="s">
        <v>660</v>
      </c>
      <c r="D372" s="1" t="s">
        <v>7</v>
      </c>
      <c r="E372" s="1" t="s">
        <v>8</v>
      </c>
    </row>
    <row r="373" spans="1:5" x14ac:dyDescent="0.25">
      <c r="A373" s="1" t="str">
        <f t="shared" si="5"/>
        <v>NV Connecticut General Life Insurance Company</v>
      </c>
      <c r="B373" s="1" t="s">
        <v>196</v>
      </c>
      <c r="C373" s="1" t="s">
        <v>660</v>
      </c>
      <c r="D373" s="1" t="s">
        <v>9</v>
      </c>
      <c r="E373" s="1" t="s">
        <v>10</v>
      </c>
    </row>
    <row r="374" spans="1:5" x14ac:dyDescent="0.25">
      <c r="A374" s="1" t="str">
        <f t="shared" si="5"/>
        <v>NV Coventry Health &amp; Life Insuance Company</v>
      </c>
      <c r="B374" s="1" t="s">
        <v>196</v>
      </c>
      <c r="C374" s="1" t="s">
        <v>660</v>
      </c>
      <c r="D374" s="1" t="s">
        <v>35</v>
      </c>
      <c r="E374" s="1" t="s">
        <v>36</v>
      </c>
    </row>
    <row r="375" spans="1:5" x14ac:dyDescent="0.25">
      <c r="A375" s="1" t="str">
        <f t="shared" si="5"/>
        <v>NV Health Plan of Nevada, Inc.</v>
      </c>
      <c r="B375" s="1" t="s">
        <v>196</v>
      </c>
      <c r="C375" s="1" t="s">
        <v>660</v>
      </c>
      <c r="D375" s="1" t="s">
        <v>197</v>
      </c>
      <c r="E375" s="1" t="s">
        <v>134</v>
      </c>
    </row>
    <row r="376" spans="1:5" x14ac:dyDescent="0.25">
      <c r="A376" s="1" t="str">
        <f t="shared" si="5"/>
        <v>NV HMO Colorado, Inc.</v>
      </c>
      <c r="B376" s="1" t="s">
        <v>196</v>
      </c>
      <c r="C376" s="1" t="s">
        <v>660</v>
      </c>
      <c r="D376" s="1" t="s">
        <v>54</v>
      </c>
      <c r="E376" s="1" t="s">
        <v>17</v>
      </c>
    </row>
    <row r="377" spans="1:5" x14ac:dyDescent="0.25">
      <c r="A377" s="1" t="str">
        <f t="shared" si="5"/>
        <v>NV Hometown Health Plan, Inc.</v>
      </c>
      <c r="B377" s="1" t="s">
        <v>196</v>
      </c>
      <c r="C377" s="1" t="s">
        <v>660</v>
      </c>
      <c r="D377" s="1" t="s">
        <v>198</v>
      </c>
    </row>
    <row r="378" spans="1:5" x14ac:dyDescent="0.25">
      <c r="A378" s="1" t="str">
        <f t="shared" si="5"/>
        <v>NV Hometown Health Providers Insurance Company, Inc.</v>
      </c>
      <c r="B378" s="1" t="s">
        <v>196</v>
      </c>
      <c r="C378" s="1" t="s">
        <v>660</v>
      </c>
      <c r="D378" s="1" t="s">
        <v>199</v>
      </c>
    </row>
    <row r="379" spans="1:5" x14ac:dyDescent="0.25">
      <c r="A379" s="1" t="str">
        <f t="shared" si="5"/>
        <v>NV Humana Health Plan, Inc.</v>
      </c>
      <c r="B379" s="1" t="s">
        <v>196</v>
      </c>
      <c r="C379" s="1" t="s">
        <v>660</v>
      </c>
      <c r="D379" s="1" t="s">
        <v>13</v>
      </c>
      <c r="E379" s="1" t="s">
        <v>14</v>
      </c>
    </row>
    <row r="380" spans="1:5" x14ac:dyDescent="0.25">
      <c r="A380" s="1" t="str">
        <f t="shared" si="5"/>
        <v>NV Humana Insurance Company, Inc.</v>
      </c>
      <c r="B380" s="1" t="s">
        <v>196</v>
      </c>
      <c r="C380" s="1" t="s">
        <v>660</v>
      </c>
      <c r="D380" s="1" t="s">
        <v>15</v>
      </c>
      <c r="E380" s="1" t="s">
        <v>14</v>
      </c>
    </row>
    <row r="381" spans="1:5" x14ac:dyDescent="0.25">
      <c r="A381" s="1" t="str">
        <f t="shared" si="5"/>
        <v>NV Rocky Mountain Hospital and Medical Service, Inc.</v>
      </c>
      <c r="B381" s="1" t="s">
        <v>196</v>
      </c>
      <c r="C381" s="1" t="s">
        <v>660</v>
      </c>
      <c r="D381" s="1" t="s">
        <v>200</v>
      </c>
      <c r="E381" s="1" t="s">
        <v>17</v>
      </c>
    </row>
    <row r="382" spans="1:5" x14ac:dyDescent="0.25">
      <c r="A382" s="1" t="str">
        <f t="shared" si="5"/>
        <v>NV Sierra Health and Life Insurance Company, Inc.</v>
      </c>
      <c r="B382" s="1" t="s">
        <v>196</v>
      </c>
      <c r="C382" s="1" t="s">
        <v>660</v>
      </c>
      <c r="D382" s="1" t="s">
        <v>31</v>
      </c>
      <c r="E382" s="1" t="s">
        <v>32</v>
      </c>
    </row>
    <row r="383" spans="1:5" x14ac:dyDescent="0.25">
      <c r="A383" s="1" t="str">
        <f t="shared" si="5"/>
        <v>NV UNICARE Life &amp; Health Insurance Company</v>
      </c>
      <c r="B383" s="1" t="s">
        <v>196</v>
      </c>
      <c r="C383" s="1" t="s">
        <v>660</v>
      </c>
      <c r="D383" s="1" t="s">
        <v>16</v>
      </c>
      <c r="E383" s="1" t="s">
        <v>17</v>
      </c>
    </row>
    <row r="384" spans="1:5" x14ac:dyDescent="0.25">
      <c r="A384" s="1" t="str">
        <f t="shared" si="5"/>
        <v>NV United American Insurance Co</v>
      </c>
      <c r="B384" s="1" t="s">
        <v>196</v>
      </c>
      <c r="C384" s="1" t="s">
        <v>660</v>
      </c>
      <c r="D384" s="1" t="s">
        <v>18</v>
      </c>
      <c r="E384" s="1" t="s">
        <v>19</v>
      </c>
    </row>
    <row r="385" spans="1:5" x14ac:dyDescent="0.25">
      <c r="A385" s="1" t="str">
        <f t="shared" si="5"/>
        <v>NV UnitedHealthcare Insurance Company</v>
      </c>
      <c r="B385" s="1" t="s">
        <v>196</v>
      </c>
      <c r="C385" s="1" t="s">
        <v>660</v>
      </c>
      <c r="D385" s="1" t="s">
        <v>20</v>
      </c>
      <c r="E385" s="1" t="s">
        <v>21</v>
      </c>
    </row>
    <row r="386" spans="1:5" x14ac:dyDescent="0.25">
      <c r="A386" s="1" t="str">
        <f t="shared" si="5"/>
        <v>NH Aetna Life Insurance Company</v>
      </c>
      <c r="B386" s="1" t="s">
        <v>201</v>
      </c>
      <c r="C386" s="1" t="s">
        <v>640</v>
      </c>
      <c r="D386" s="1" t="s">
        <v>4</v>
      </c>
      <c r="E386" s="1" t="s">
        <v>5</v>
      </c>
    </row>
    <row r="387" spans="1:5" x14ac:dyDescent="0.25">
      <c r="A387" s="1" t="str">
        <f t="shared" ref="A387:A450" si="6">C387&amp;" "&amp;D387</f>
        <v>NH Connecticut General Life Insurance Company</v>
      </c>
      <c r="B387" s="1" t="s">
        <v>201</v>
      </c>
      <c r="C387" s="1" t="s">
        <v>640</v>
      </c>
      <c r="D387" s="1" t="s">
        <v>9</v>
      </c>
      <c r="E387" s="1" t="s">
        <v>10</v>
      </c>
    </row>
    <row r="388" spans="1:5" x14ac:dyDescent="0.25">
      <c r="A388" s="1" t="str">
        <f t="shared" si="6"/>
        <v>NH HPHC Insurance Company, Inc.</v>
      </c>
      <c r="B388" s="1" t="s">
        <v>201</v>
      </c>
      <c r="C388" s="1" t="s">
        <v>640</v>
      </c>
      <c r="D388" s="1" t="s">
        <v>142</v>
      </c>
      <c r="E388" s="1" t="s">
        <v>143</v>
      </c>
    </row>
    <row r="389" spans="1:5" x14ac:dyDescent="0.25">
      <c r="A389" s="1" t="str">
        <f t="shared" si="6"/>
        <v>NH Humana Insurance Company, Inc.</v>
      </c>
      <c r="B389" s="1" t="s">
        <v>201</v>
      </c>
      <c r="C389" s="1" t="s">
        <v>640</v>
      </c>
      <c r="D389" s="1" t="s">
        <v>15</v>
      </c>
      <c r="E389" s="1" t="s">
        <v>14</v>
      </c>
    </row>
    <row r="390" spans="1:5" x14ac:dyDescent="0.25">
      <c r="A390" s="1" t="str">
        <f t="shared" si="6"/>
        <v>NH UNICARE Life &amp; Health Insurance Company</v>
      </c>
      <c r="B390" s="1" t="s">
        <v>201</v>
      </c>
      <c r="C390" s="1" t="s">
        <v>640</v>
      </c>
      <c r="D390" s="1" t="s">
        <v>16</v>
      </c>
      <c r="E390" s="1" t="s">
        <v>17</v>
      </c>
    </row>
    <row r="391" spans="1:5" x14ac:dyDescent="0.25">
      <c r="A391" s="1" t="str">
        <f t="shared" si="6"/>
        <v>NH United American Insurance Co</v>
      </c>
      <c r="B391" s="1" t="s">
        <v>201</v>
      </c>
      <c r="C391" s="1" t="s">
        <v>640</v>
      </c>
      <c r="D391" s="1" t="s">
        <v>18</v>
      </c>
      <c r="E391" s="1" t="s">
        <v>19</v>
      </c>
    </row>
    <row r="392" spans="1:5" x14ac:dyDescent="0.25">
      <c r="A392" s="1" t="str">
        <f t="shared" si="6"/>
        <v>NH UnitedHealthcare Insurance Company</v>
      </c>
      <c r="B392" s="1" t="s">
        <v>201</v>
      </c>
      <c r="C392" s="1" t="s">
        <v>640</v>
      </c>
      <c r="D392" s="1" t="s">
        <v>20</v>
      </c>
      <c r="E392" s="1" t="s">
        <v>21</v>
      </c>
    </row>
    <row r="393" spans="1:5" x14ac:dyDescent="0.25">
      <c r="A393" s="1" t="str">
        <f t="shared" si="6"/>
        <v>NJ Aetna Health Inc. (a New Jersey corporation)</v>
      </c>
      <c r="B393" s="1" t="s">
        <v>202</v>
      </c>
      <c r="C393" s="1" t="s">
        <v>641</v>
      </c>
      <c r="D393" s="1" t="s">
        <v>203</v>
      </c>
      <c r="E393" s="1" t="s">
        <v>5</v>
      </c>
    </row>
    <row r="394" spans="1:5" x14ac:dyDescent="0.25">
      <c r="A394" s="1" t="str">
        <f t="shared" si="6"/>
        <v>NJ Aetna Life Insurance Company</v>
      </c>
      <c r="B394" s="1" t="s">
        <v>202</v>
      </c>
      <c r="C394" s="1" t="s">
        <v>641</v>
      </c>
      <c r="D394" s="1" t="s">
        <v>4</v>
      </c>
      <c r="E394" s="1" t="s">
        <v>5</v>
      </c>
    </row>
    <row r="395" spans="1:5" x14ac:dyDescent="0.25">
      <c r="A395" s="1" t="str">
        <f t="shared" si="6"/>
        <v>NJ AmeriHealth HMO, Inc.</v>
      </c>
      <c r="B395" s="1" t="s">
        <v>202</v>
      </c>
      <c r="C395" s="1" t="s">
        <v>641</v>
      </c>
      <c r="D395" s="1" t="s">
        <v>204</v>
      </c>
      <c r="E395" s="1" t="s">
        <v>205</v>
      </c>
    </row>
    <row r="396" spans="1:5" x14ac:dyDescent="0.25">
      <c r="A396" s="1" t="str">
        <f t="shared" si="6"/>
        <v>NJ Celtic Insurance Company</v>
      </c>
      <c r="B396" s="1" t="s">
        <v>202</v>
      </c>
      <c r="C396" s="1" t="s">
        <v>641</v>
      </c>
      <c r="D396" s="1" t="s">
        <v>7</v>
      </c>
      <c r="E396" s="1" t="s">
        <v>8</v>
      </c>
    </row>
    <row r="397" spans="1:5" x14ac:dyDescent="0.25">
      <c r="A397" s="1" t="str">
        <f t="shared" si="6"/>
        <v>NJ Connecticut General Life Insurance Company</v>
      </c>
      <c r="B397" s="1" t="s">
        <v>202</v>
      </c>
      <c r="C397" s="1" t="s">
        <v>641</v>
      </c>
      <c r="D397" s="1" t="s">
        <v>9</v>
      </c>
      <c r="E397" s="1" t="s">
        <v>10</v>
      </c>
    </row>
    <row r="398" spans="1:5" x14ac:dyDescent="0.25">
      <c r="A398" s="1" t="str">
        <f t="shared" si="6"/>
        <v>NJ Health Net Life Insurance Company</v>
      </c>
      <c r="B398" s="1" t="s">
        <v>202</v>
      </c>
      <c r="C398" s="1" t="s">
        <v>641</v>
      </c>
      <c r="D398" s="1" t="s">
        <v>28</v>
      </c>
      <c r="E398" s="1" t="s">
        <v>29</v>
      </c>
    </row>
    <row r="399" spans="1:5" x14ac:dyDescent="0.25">
      <c r="A399" s="1" t="str">
        <f t="shared" si="6"/>
        <v>NJ Horizon Healthcare of New Jersey</v>
      </c>
      <c r="B399" s="1" t="s">
        <v>202</v>
      </c>
      <c r="C399" s="1" t="s">
        <v>641</v>
      </c>
      <c r="D399" s="1" t="s">
        <v>208</v>
      </c>
      <c r="E399" s="1" t="s">
        <v>207</v>
      </c>
    </row>
    <row r="400" spans="1:5" x14ac:dyDescent="0.25">
      <c r="A400" s="1" t="str">
        <f t="shared" si="6"/>
        <v>NJ Horizon Healthcare Services</v>
      </c>
      <c r="B400" s="1" t="s">
        <v>202</v>
      </c>
      <c r="C400" s="1" t="s">
        <v>641</v>
      </c>
      <c r="D400" s="1" t="s">
        <v>206</v>
      </c>
      <c r="E400" s="1" t="s">
        <v>207</v>
      </c>
    </row>
    <row r="401" spans="1:5" x14ac:dyDescent="0.25">
      <c r="A401" s="1" t="str">
        <f t="shared" si="6"/>
        <v>NJ Humana Insurance Company, Inc.</v>
      </c>
      <c r="B401" s="1" t="s">
        <v>202</v>
      </c>
      <c r="C401" s="1" t="s">
        <v>641</v>
      </c>
      <c r="D401" s="1" t="s">
        <v>15</v>
      </c>
      <c r="E401" s="1" t="s">
        <v>14</v>
      </c>
    </row>
    <row r="402" spans="1:5" x14ac:dyDescent="0.25">
      <c r="A402" s="1" t="str">
        <f t="shared" si="6"/>
        <v>NJ Oxford Health Plans (NJ), Inc</v>
      </c>
      <c r="B402" s="1" t="s">
        <v>202</v>
      </c>
      <c r="C402" s="1" t="s">
        <v>641</v>
      </c>
      <c r="D402" s="1" t="s">
        <v>209</v>
      </c>
      <c r="E402" s="1" t="s">
        <v>65</v>
      </c>
    </row>
    <row r="403" spans="1:5" x14ac:dyDescent="0.25">
      <c r="A403" s="1" t="str">
        <f t="shared" si="6"/>
        <v>NJ UNICARE Life &amp; Health Insurance Company</v>
      </c>
      <c r="B403" s="1" t="s">
        <v>202</v>
      </c>
      <c r="C403" s="1" t="s">
        <v>641</v>
      </c>
      <c r="D403" s="1" t="s">
        <v>16</v>
      </c>
      <c r="E403" s="1" t="s">
        <v>17</v>
      </c>
    </row>
    <row r="404" spans="1:5" x14ac:dyDescent="0.25">
      <c r="A404" s="1" t="str">
        <f t="shared" si="6"/>
        <v>NJ United American Insurance Co</v>
      </c>
      <c r="B404" s="1" t="s">
        <v>202</v>
      </c>
      <c r="C404" s="1" t="s">
        <v>641</v>
      </c>
      <c r="D404" s="1" t="s">
        <v>18</v>
      </c>
      <c r="E404" s="1" t="s">
        <v>19</v>
      </c>
    </row>
    <row r="405" spans="1:5" x14ac:dyDescent="0.25">
      <c r="A405" s="1" t="str">
        <f t="shared" si="6"/>
        <v>NJ UnitedHealthcare Insurance Company</v>
      </c>
      <c r="B405" s="1" t="s">
        <v>202</v>
      </c>
      <c r="C405" s="1" t="s">
        <v>641</v>
      </c>
      <c r="D405" s="1" t="s">
        <v>20</v>
      </c>
      <c r="E405" s="1" t="s">
        <v>21</v>
      </c>
    </row>
    <row r="406" spans="1:5" x14ac:dyDescent="0.25">
      <c r="A406" s="1" t="str">
        <f t="shared" si="6"/>
        <v>NM Aetna Life Insurance Company</v>
      </c>
      <c r="B406" s="1" t="s">
        <v>210</v>
      </c>
      <c r="C406" s="1" t="s">
        <v>649</v>
      </c>
      <c r="D406" s="1" t="s">
        <v>4</v>
      </c>
      <c r="E406" s="1" t="s">
        <v>5</v>
      </c>
    </row>
    <row r="407" spans="1:5" x14ac:dyDescent="0.25">
      <c r="A407" s="1" t="str">
        <f t="shared" si="6"/>
        <v>NM Celtic Insurance Company</v>
      </c>
      <c r="B407" s="1" t="s">
        <v>210</v>
      </c>
      <c r="C407" s="1" t="s">
        <v>649</v>
      </c>
      <c r="D407" s="1" t="s">
        <v>7</v>
      </c>
      <c r="E407" s="1" t="s">
        <v>8</v>
      </c>
    </row>
    <row r="408" spans="1:5" x14ac:dyDescent="0.25">
      <c r="A408" s="1" t="str">
        <f t="shared" si="6"/>
        <v>NM Connecticut General Life Insurance Company</v>
      </c>
      <c r="B408" s="1" t="s">
        <v>210</v>
      </c>
      <c r="C408" s="1" t="s">
        <v>649</v>
      </c>
      <c r="D408" s="1" t="s">
        <v>9</v>
      </c>
      <c r="E408" s="1" t="s">
        <v>10</v>
      </c>
    </row>
    <row r="409" spans="1:5" x14ac:dyDescent="0.25">
      <c r="A409" s="1" t="str">
        <f t="shared" si="6"/>
        <v>NM Humana Health Plan, Inc.</v>
      </c>
      <c r="B409" s="1" t="s">
        <v>210</v>
      </c>
      <c r="C409" s="1" t="s">
        <v>649</v>
      </c>
      <c r="D409" s="1" t="s">
        <v>13</v>
      </c>
      <c r="E409" s="1" t="s">
        <v>14</v>
      </c>
    </row>
    <row r="410" spans="1:5" x14ac:dyDescent="0.25">
      <c r="A410" s="1" t="str">
        <f t="shared" si="6"/>
        <v>NM Humana Insurance Company, Inc.</v>
      </c>
      <c r="B410" s="1" t="s">
        <v>210</v>
      </c>
      <c r="C410" s="1" t="s">
        <v>649</v>
      </c>
      <c r="D410" s="1" t="s">
        <v>15</v>
      </c>
      <c r="E410" s="1" t="s">
        <v>14</v>
      </c>
    </row>
    <row r="411" spans="1:5" x14ac:dyDescent="0.25">
      <c r="A411" s="1" t="str">
        <f t="shared" si="6"/>
        <v>NM Lovelace Health System, Inc.</v>
      </c>
      <c r="B411" s="1" t="s">
        <v>210</v>
      </c>
      <c r="C411" s="1" t="s">
        <v>649</v>
      </c>
      <c r="D411" s="1" t="s">
        <v>211</v>
      </c>
      <c r="E411" s="1" t="s">
        <v>212</v>
      </c>
    </row>
    <row r="412" spans="1:5" x14ac:dyDescent="0.25">
      <c r="A412" s="1" t="str">
        <f t="shared" si="6"/>
        <v>NM Presbyterian Health Plan, Inc.</v>
      </c>
      <c r="B412" s="1" t="s">
        <v>210</v>
      </c>
      <c r="C412" s="1" t="s">
        <v>649</v>
      </c>
      <c r="D412" s="1" t="s">
        <v>213</v>
      </c>
      <c r="E412" s="1" t="s">
        <v>214</v>
      </c>
    </row>
    <row r="413" spans="1:5" x14ac:dyDescent="0.25">
      <c r="A413" s="1" t="str">
        <f t="shared" si="6"/>
        <v>NM Presbyterian Insurance Company, Inc.</v>
      </c>
      <c r="B413" s="1" t="s">
        <v>210</v>
      </c>
      <c r="C413" s="1" t="s">
        <v>649</v>
      </c>
      <c r="D413" s="1" t="s">
        <v>215</v>
      </c>
      <c r="E413" s="1" t="s">
        <v>214</v>
      </c>
    </row>
    <row r="414" spans="1:5" x14ac:dyDescent="0.25">
      <c r="A414" s="1" t="str">
        <f t="shared" si="6"/>
        <v>NM UNICARE Life &amp; Health Insurance Company</v>
      </c>
      <c r="B414" s="1" t="s">
        <v>210</v>
      </c>
      <c r="C414" s="1" t="s">
        <v>649</v>
      </c>
      <c r="D414" s="1" t="s">
        <v>16</v>
      </c>
      <c r="E414" s="1" t="s">
        <v>17</v>
      </c>
    </row>
    <row r="415" spans="1:5" x14ac:dyDescent="0.25">
      <c r="A415" s="1" t="str">
        <f t="shared" si="6"/>
        <v>NM United American Insurance Co</v>
      </c>
      <c r="B415" s="1" t="s">
        <v>210</v>
      </c>
      <c r="C415" s="1" t="s">
        <v>649</v>
      </c>
      <c r="D415" s="1" t="s">
        <v>18</v>
      </c>
      <c r="E415" s="1" t="s">
        <v>19</v>
      </c>
    </row>
    <row r="416" spans="1:5" x14ac:dyDescent="0.25">
      <c r="A416" s="1" t="str">
        <f t="shared" si="6"/>
        <v>NM UnitedHealthcare Insurance Company</v>
      </c>
      <c r="B416" s="1" t="s">
        <v>210</v>
      </c>
      <c r="C416" s="1" t="s">
        <v>649</v>
      </c>
      <c r="D416" s="1" t="s">
        <v>20</v>
      </c>
      <c r="E416" s="1" t="s">
        <v>21</v>
      </c>
    </row>
    <row r="417" spans="1:5" x14ac:dyDescent="0.25">
      <c r="A417" s="1" t="str">
        <f t="shared" si="6"/>
        <v>NY Aetna Health Inc. (a New York corporation)</v>
      </c>
      <c r="B417" s="1" t="s">
        <v>216</v>
      </c>
      <c r="C417" s="1" t="s">
        <v>665</v>
      </c>
      <c r="D417" s="1" t="s">
        <v>217</v>
      </c>
      <c r="E417" s="1" t="s">
        <v>5</v>
      </c>
    </row>
    <row r="418" spans="1:5" x14ac:dyDescent="0.25">
      <c r="A418" s="1" t="str">
        <f t="shared" si="6"/>
        <v>NY Aetna Life Insurance Company</v>
      </c>
      <c r="B418" s="1" t="s">
        <v>216</v>
      </c>
      <c r="C418" s="1" t="s">
        <v>665</v>
      </c>
      <c r="D418" s="1" t="s">
        <v>4</v>
      </c>
      <c r="E418" s="1" t="s">
        <v>5</v>
      </c>
    </row>
    <row r="419" spans="1:5" x14ac:dyDescent="0.25">
      <c r="A419" s="1" t="str">
        <f t="shared" si="6"/>
        <v>NY Capital District Physicians Health Plan, Inc.</v>
      </c>
      <c r="B419" s="1" t="s">
        <v>216</v>
      </c>
      <c r="C419" s="1" t="s">
        <v>665</v>
      </c>
      <c r="D419" s="1" t="s">
        <v>220</v>
      </c>
      <c r="E419" s="1" t="s">
        <v>219</v>
      </c>
    </row>
    <row r="420" spans="1:5" x14ac:dyDescent="0.25">
      <c r="A420" s="1" t="str">
        <f t="shared" si="6"/>
        <v>NY CDPHP Universal Benefits, Inc.</v>
      </c>
      <c r="B420" s="1" t="s">
        <v>216</v>
      </c>
      <c r="C420" s="1" t="s">
        <v>665</v>
      </c>
      <c r="D420" s="1" t="s">
        <v>218</v>
      </c>
      <c r="E420" s="1" t="s">
        <v>219</v>
      </c>
    </row>
    <row r="421" spans="1:5" x14ac:dyDescent="0.25">
      <c r="A421" s="1" t="str">
        <f t="shared" si="6"/>
        <v>NY Connecticut General Life Insurance Company</v>
      </c>
      <c r="B421" s="1" t="s">
        <v>216</v>
      </c>
      <c r="C421" s="1" t="s">
        <v>665</v>
      </c>
      <c r="D421" s="1" t="s">
        <v>9</v>
      </c>
      <c r="E421" s="1" t="s">
        <v>10</v>
      </c>
    </row>
    <row r="422" spans="1:5" x14ac:dyDescent="0.25">
      <c r="A422" s="1" t="str">
        <f t="shared" si="6"/>
        <v>NY Empire HealthChoice Assurance, Inc.</v>
      </c>
      <c r="B422" s="1" t="s">
        <v>216</v>
      </c>
      <c r="C422" s="1" t="s">
        <v>665</v>
      </c>
      <c r="D422" s="1" t="s">
        <v>221</v>
      </c>
      <c r="E422" s="1" t="s">
        <v>41</v>
      </c>
    </row>
    <row r="423" spans="1:5" x14ac:dyDescent="0.25">
      <c r="A423" s="1" t="str">
        <f t="shared" si="6"/>
        <v>NY Empire HealthChoice HMO, Inc.</v>
      </c>
      <c r="B423" s="1" t="s">
        <v>216</v>
      </c>
      <c r="C423" s="1" t="s">
        <v>665</v>
      </c>
      <c r="D423" s="1" t="s">
        <v>222</v>
      </c>
      <c r="E423" s="1" t="s">
        <v>41</v>
      </c>
    </row>
    <row r="424" spans="1:5" x14ac:dyDescent="0.25">
      <c r="A424" s="1" t="str">
        <f t="shared" si="6"/>
        <v>NY Excellus Health Plan, Inc</v>
      </c>
      <c r="B424" s="1" t="s">
        <v>216</v>
      </c>
      <c r="C424" s="1" t="s">
        <v>665</v>
      </c>
      <c r="D424" s="1" t="s">
        <v>223</v>
      </c>
      <c r="E424" s="1" t="s">
        <v>224</v>
      </c>
    </row>
    <row r="425" spans="1:5" x14ac:dyDescent="0.25">
      <c r="A425" s="1" t="str">
        <f t="shared" si="6"/>
        <v>NY GHI an EmblemHealth Company</v>
      </c>
      <c r="B425" s="1" t="s">
        <v>216</v>
      </c>
      <c r="C425" s="1" t="s">
        <v>665</v>
      </c>
      <c r="D425" s="1" t="s">
        <v>225</v>
      </c>
      <c r="E425" s="1" t="s">
        <v>226</v>
      </c>
    </row>
    <row r="426" spans="1:5" x14ac:dyDescent="0.25">
      <c r="A426" s="1" t="str">
        <f t="shared" si="6"/>
        <v>NY GHI HMO an EmblemHealth Company</v>
      </c>
      <c r="B426" s="1" t="s">
        <v>216</v>
      </c>
      <c r="C426" s="1" t="s">
        <v>665</v>
      </c>
      <c r="D426" s="1" t="s">
        <v>844</v>
      </c>
      <c r="E426" s="1" t="s">
        <v>226</v>
      </c>
    </row>
    <row r="427" spans="1:5" x14ac:dyDescent="0.25">
      <c r="A427" s="1" t="str">
        <f t="shared" si="6"/>
        <v>NY Health Net Insurance of New York, Inc.</v>
      </c>
      <c r="B427" s="1" t="s">
        <v>216</v>
      </c>
      <c r="C427" s="1" t="s">
        <v>665</v>
      </c>
      <c r="D427" s="1" t="s">
        <v>845</v>
      </c>
      <c r="E427" s="1" t="s">
        <v>21</v>
      </c>
    </row>
    <row r="428" spans="1:5" x14ac:dyDescent="0.25">
      <c r="A428" s="1" t="str">
        <f t="shared" si="6"/>
        <v>NY HealthNow New York Inc.</v>
      </c>
      <c r="B428" s="1" t="s">
        <v>216</v>
      </c>
      <c r="C428" s="1" t="s">
        <v>665</v>
      </c>
      <c r="D428" s="1" t="s">
        <v>229</v>
      </c>
    </row>
    <row r="429" spans="1:5" x14ac:dyDescent="0.25">
      <c r="A429" s="1" t="str">
        <f t="shared" si="6"/>
        <v>NY HIP an EmblemHealth Company</v>
      </c>
      <c r="B429" s="1" t="s">
        <v>216</v>
      </c>
      <c r="C429" s="1" t="s">
        <v>665</v>
      </c>
      <c r="D429" s="1" t="s">
        <v>843</v>
      </c>
      <c r="E429" s="1" t="s">
        <v>228</v>
      </c>
    </row>
    <row r="430" spans="1:5" x14ac:dyDescent="0.25">
      <c r="A430" s="1" t="str">
        <f t="shared" si="6"/>
        <v>NY HIP of Greater NY an EmblemHealth Company</v>
      </c>
      <c r="B430" s="1" t="s">
        <v>216</v>
      </c>
      <c r="C430" s="1" t="s">
        <v>665</v>
      </c>
      <c r="D430" s="1" t="s">
        <v>227</v>
      </c>
      <c r="E430" s="1" t="s">
        <v>228</v>
      </c>
    </row>
    <row r="431" spans="1:5" x14ac:dyDescent="0.25">
      <c r="A431" s="1" t="str">
        <f t="shared" si="6"/>
        <v>NY Independent Health Association, Inc</v>
      </c>
      <c r="B431" s="1" t="s">
        <v>216</v>
      </c>
      <c r="C431" s="1" t="s">
        <v>665</v>
      </c>
      <c r="D431" s="1" t="s">
        <v>230</v>
      </c>
    </row>
    <row r="432" spans="1:5" x14ac:dyDescent="0.25">
      <c r="A432" s="1" t="str">
        <f t="shared" si="6"/>
        <v>NY Independent Health Benefits Corporation</v>
      </c>
      <c r="B432" s="1" t="s">
        <v>216</v>
      </c>
      <c r="C432" s="1" t="s">
        <v>665</v>
      </c>
      <c r="D432" s="1" t="s">
        <v>231</v>
      </c>
    </row>
    <row r="433" spans="1:5" x14ac:dyDescent="0.25">
      <c r="A433" s="1" t="str">
        <f t="shared" si="6"/>
        <v>NY Managed Health, Inc.</v>
      </c>
      <c r="B433" s="1" t="s">
        <v>216</v>
      </c>
      <c r="C433" s="1" t="s">
        <v>665</v>
      </c>
      <c r="D433" s="1" t="s">
        <v>234</v>
      </c>
    </row>
    <row r="434" spans="1:5" x14ac:dyDescent="0.25">
      <c r="A434" s="1" t="str">
        <f t="shared" si="6"/>
        <v>NY MVP Health Plan, Inc</v>
      </c>
      <c r="B434" s="1" t="s">
        <v>216</v>
      </c>
      <c r="C434" s="1" t="s">
        <v>665</v>
      </c>
      <c r="D434" s="1" t="s">
        <v>232</v>
      </c>
      <c r="E434" s="1" t="s">
        <v>233</v>
      </c>
    </row>
    <row r="435" spans="1:5" x14ac:dyDescent="0.25">
      <c r="A435" s="1" t="str">
        <f t="shared" si="6"/>
        <v>NY Oxford Health Plans (NY), Inc.</v>
      </c>
      <c r="B435" s="1" t="s">
        <v>216</v>
      </c>
      <c r="C435" s="1" t="s">
        <v>665</v>
      </c>
      <c r="D435" s="1" t="s">
        <v>235</v>
      </c>
      <c r="E435" s="1" t="s">
        <v>134</v>
      </c>
    </row>
    <row r="436" spans="1:5" x14ac:dyDescent="0.25">
      <c r="A436" s="1" t="str">
        <f t="shared" si="6"/>
        <v>NY UNICARE Life &amp; Health Insurance Company</v>
      </c>
      <c r="B436" s="1" t="s">
        <v>216</v>
      </c>
      <c r="C436" s="1" t="s">
        <v>665</v>
      </c>
      <c r="D436" s="1" t="s">
        <v>16</v>
      </c>
      <c r="E436" s="1" t="s">
        <v>17</v>
      </c>
    </row>
    <row r="437" spans="1:5" x14ac:dyDescent="0.25">
      <c r="A437" s="1" t="str">
        <f t="shared" si="6"/>
        <v>NY UnitedHealthcare Insurance Company of New York</v>
      </c>
      <c r="B437" s="1" t="s">
        <v>216</v>
      </c>
      <c r="C437" s="1" t="s">
        <v>665</v>
      </c>
      <c r="D437" s="1" t="s">
        <v>236</v>
      </c>
      <c r="E437" s="1" t="s">
        <v>21</v>
      </c>
    </row>
    <row r="438" spans="1:5" x14ac:dyDescent="0.25">
      <c r="A438" s="1" t="str">
        <f t="shared" si="6"/>
        <v>NC Aetna Health Inc. (a Pennsylvania corporation)</v>
      </c>
      <c r="B438" s="1" t="s">
        <v>237</v>
      </c>
      <c r="C438" s="1" t="s">
        <v>629</v>
      </c>
      <c r="D438" s="1" t="s">
        <v>26</v>
      </c>
      <c r="E438" s="1" t="s">
        <v>5</v>
      </c>
    </row>
    <row r="439" spans="1:5" x14ac:dyDescent="0.25">
      <c r="A439" s="1" t="str">
        <f t="shared" si="6"/>
        <v>NC Aetna Life Insurance Company</v>
      </c>
      <c r="B439" s="1" t="s">
        <v>237</v>
      </c>
      <c r="C439" s="1" t="s">
        <v>629</v>
      </c>
      <c r="D439" s="1" t="s">
        <v>4</v>
      </c>
      <c r="E439" s="1" t="s">
        <v>5</v>
      </c>
    </row>
    <row r="440" spans="1:5" x14ac:dyDescent="0.25">
      <c r="A440" s="1" t="str">
        <f t="shared" si="6"/>
        <v>NC Blue Cross Blue Shield of NC</v>
      </c>
      <c r="B440" s="1" t="s">
        <v>237</v>
      </c>
      <c r="C440" s="1" t="s">
        <v>629</v>
      </c>
      <c r="D440" s="1" t="s">
        <v>238</v>
      </c>
    </row>
    <row r="441" spans="1:5" x14ac:dyDescent="0.25">
      <c r="A441" s="1" t="str">
        <f t="shared" si="6"/>
        <v>NC Celtic Insurance Company</v>
      </c>
      <c r="B441" s="1" t="s">
        <v>237</v>
      </c>
      <c r="C441" s="1" t="s">
        <v>629</v>
      </c>
      <c r="D441" s="1" t="s">
        <v>7</v>
      </c>
      <c r="E441" s="1" t="s">
        <v>8</v>
      </c>
    </row>
    <row r="442" spans="1:5" x14ac:dyDescent="0.25">
      <c r="A442" s="1" t="str">
        <f t="shared" si="6"/>
        <v>NC Connecticut General Life Insurance Company</v>
      </c>
      <c r="B442" s="1" t="s">
        <v>237</v>
      </c>
      <c r="C442" s="1" t="s">
        <v>629</v>
      </c>
      <c r="D442" s="1" t="s">
        <v>9</v>
      </c>
      <c r="E442" s="1" t="s">
        <v>10</v>
      </c>
    </row>
    <row r="443" spans="1:5" x14ac:dyDescent="0.25">
      <c r="A443" s="1" t="str">
        <f t="shared" si="6"/>
        <v>NC Coventry Health &amp; Life Insuance Company</v>
      </c>
      <c r="B443" s="1" t="s">
        <v>237</v>
      </c>
      <c r="C443" s="1" t="s">
        <v>629</v>
      </c>
      <c r="D443" s="1" t="s">
        <v>35</v>
      </c>
      <c r="E443" s="1" t="s">
        <v>36</v>
      </c>
    </row>
    <row r="444" spans="1:5" x14ac:dyDescent="0.25">
      <c r="A444" s="1" t="str">
        <f t="shared" si="6"/>
        <v>NC Humana Insurance Company, Inc.</v>
      </c>
      <c r="B444" s="1" t="s">
        <v>237</v>
      </c>
      <c r="C444" s="1" t="s">
        <v>629</v>
      </c>
      <c r="D444" s="1" t="s">
        <v>15</v>
      </c>
      <c r="E444" s="1" t="s">
        <v>14</v>
      </c>
    </row>
    <row r="445" spans="1:5" x14ac:dyDescent="0.25">
      <c r="A445" s="1" t="str">
        <f t="shared" si="6"/>
        <v>NC Humana Medical Plan, Inc.</v>
      </c>
      <c r="B445" s="1" t="s">
        <v>237</v>
      </c>
      <c r="C445" s="1" t="s">
        <v>629</v>
      </c>
      <c r="D445" s="1" t="s">
        <v>86</v>
      </c>
      <c r="E445" s="1" t="s">
        <v>14</v>
      </c>
    </row>
    <row r="446" spans="1:5" x14ac:dyDescent="0.25">
      <c r="A446" s="1" t="str">
        <f t="shared" si="6"/>
        <v>NC PacifiCare Life and Health Insurance Co</v>
      </c>
      <c r="B446" s="1" t="s">
        <v>237</v>
      </c>
      <c r="C446" s="1" t="s">
        <v>629</v>
      </c>
      <c r="D446" s="1" t="s">
        <v>66</v>
      </c>
      <c r="E446" s="1" t="s">
        <v>32</v>
      </c>
    </row>
    <row r="447" spans="1:5" x14ac:dyDescent="0.25">
      <c r="A447" s="1" t="str">
        <f t="shared" si="6"/>
        <v>NC UNICARE Life &amp; Health Insurance Company</v>
      </c>
      <c r="B447" s="1" t="s">
        <v>237</v>
      </c>
      <c r="C447" s="1" t="s">
        <v>629</v>
      </c>
      <c r="D447" s="1" t="s">
        <v>16</v>
      </c>
      <c r="E447" s="1" t="s">
        <v>17</v>
      </c>
    </row>
    <row r="448" spans="1:5" x14ac:dyDescent="0.25">
      <c r="A448" s="1" t="str">
        <f t="shared" si="6"/>
        <v>NC United American Insurance Co</v>
      </c>
      <c r="B448" s="1" t="s">
        <v>237</v>
      </c>
      <c r="C448" s="1" t="s">
        <v>629</v>
      </c>
      <c r="D448" s="1" t="s">
        <v>18</v>
      </c>
      <c r="E448" s="1" t="s">
        <v>19</v>
      </c>
    </row>
    <row r="449" spans="1:5" x14ac:dyDescent="0.25">
      <c r="A449" s="1" t="str">
        <f t="shared" si="6"/>
        <v>NC UnitedHealthcare Insurance Company</v>
      </c>
      <c r="B449" s="1" t="s">
        <v>237</v>
      </c>
      <c r="C449" s="1" t="s">
        <v>629</v>
      </c>
      <c r="D449" s="1" t="s">
        <v>20</v>
      </c>
      <c r="E449" s="1" t="s">
        <v>21</v>
      </c>
    </row>
    <row r="450" spans="1:5" x14ac:dyDescent="0.25">
      <c r="A450" s="1" t="str">
        <f t="shared" si="6"/>
        <v>NC UnitedHealthcare of North Carolina, Inc.</v>
      </c>
      <c r="B450" s="1" t="s">
        <v>237</v>
      </c>
      <c r="C450" s="1" t="s">
        <v>629</v>
      </c>
      <c r="D450" s="1" t="s">
        <v>239</v>
      </c>
      <c r="E450" s="1" t="s">
        <v>21</v>
      </c>
    </row>
    <row r="451" spans="1:5" x14ac:dyDescent="0.25">
      <c r="A451" s="1" t="str">
        <f t="shared" ref="A451:A514" si="7">C451&amp;" "&amp;D451</f>
        <v>ND Aetna Life Insurance Company</v>
      </c>
      <c r="B451" s="1" t="s">
        <v>240</v>
      </c>
      <c r="C451" s="1" t="s">
        <v>637</v>
      </c>
      <c r="D451" s="1" t="s">
        <v>4</v>
      </c>
      <c r="E451" s="1" t="s">
        <v>5</v>
      </c>
    </row>
    <row r="452" spans="1:5" x14ac:dyDescent="0.25">
      <c r="A452" s="1" t="str">
        <f t="shared" si="7"/>
        <v>ND Celtic Insurance Company</v>
      </c>
      <c r="B452" s="1" t="s">
        <v>240</v>
      </c>
      <c r="C452" s="1" t="s">
        <v>637</v>
      </c>
      <c r="D452" s="1" t="s">
        <v>7</v>
      </c>
      <c r="E452" s="1" t="s">
        <v>8</v>
      </c>
    </row>
    <row r="453" spans="1:5" x14ac:dyDescent="0.25">
      <c r="A453" s="1" t="str">
        <f t="shared" si="7"/>
        <v>ND Connecticut General Life Insurance Company</v>
      </c>
      <c r="B453" s="1" t="s">
        <v>240</v>
      </c>
      <c r="C453" s="1" t="s">
        <v>637</v>
      </c>
      <c r="D453" s="1" t="s">
        <v>9</v>
      </c>
      <c r="E453" s="1" t="s">
        <v>10</v>
      </c>
    </row>
    <row r="454" spans="1:5" x14ac:dyDescent="0.25">
      <c r="A454" s="1" t="str">
        <f t="shared" si="7"/>
        <v>ND Heart of America Health Plan</v>
      </c>
      <c r="B454" s="1" t="s">
        <v>240</v>
      </c>
      <c r="C454" s="1" t="s">
        <v>637</v>
      </c>
      <c r="D454" s="1" t="s">
        <v>241</v>
      </c>
    </row>
    <row r="455" spans="1:5" x14ac:dyDescent="0.25">
      <c r="A455" s="1" t="str">
        <f t="shared" si="7"/>
        <v>ND Humana Insurance Company, Inc.</v>
      </c>
      <c r="B455" s="1" t="s">
        <v>240</v>
      </c>
      <c r="C455" s="1" t="s">
        <v>637</v>
      </c>
      <c r="D455" s="1" t="s">
        <v>15</v>
      </c>
      <c r="E455" s="1" t="s">
        <v>14</v>
      </c>
    </row>
    <row r="456" spans="1:5" x14ac:dyDescent="0.25">
      <c r="A456" s="1" t="str">
        <f t="shared" si="7"/>
        <v>ND Medica Health Plans</v>
      </c>
      <c r="B456" s="1" t="s">
        <v>240</v>
      </c>
      <c r="C456" s="1" t="s">
        <v>637</v>
      </c>
      <c r="D456" s="1" t="s">
        <v>182</v>
      </c>
      <c r="E456" s="1" t="s">
        <v>183</v>
      </c>
    </row>
    <row r="457" spans="1:5" x14ac:dyDescent="0.25">
      <c r="A457" s="1" t="str">
        <f t="shared" si="7"/>
        <v>ND Medica Insurance Company</v>
      </c>
      <c r="B457" s="1" t="s">
        <v>240</v>
      </c>
      <c r="C457" s="1" t="s">
        <v>637</v>
      </c>
      <c r="D457" s="1" t="s">
        <v>184</v>
      </c>
      <c r="E457" s="1" t="s">
        <v>183</v>
      </c>
    </row>
    <row r="458" spans="1:5" x14ac:dyDescent="0.25">
      <c r="A458" s="1" t="str">
        <f t="shared" si="7"/>
        <v>ND Noridian Mutual Insurance Company</v>
      </c>
      <c r="B458" s="1" t="s">
        <v>240</v>
      </c>
      <c r="C458" s="1" t="s">
        <v>637</v>
      </c>
      <c r="D458" s="1" t="s">
        <v>242</v>
      </c>
      <c r="E458" s="1" t="s">
        <v>242</v>
      </c>
    </row>
    <row r="459" spans="1:5" x14ac:dyDescent="0.25">
      <c r="A459" s="1" t="str">
        <f t="shared" si="7"/>
        <v>ND PacifiCare Life and Health Insurance Co</v>
      </c>
      <c r="B459" s="1" t="s">
        <v>240</v>
      </c>
      <c r="C459" s="1" t="s">
        <v>637</v>
      </c>
      <c r="D459" s="1" t="s">
        <v>66</v>
      </c>
      <c r="E459" s="1" t="s">
        <v>32</v>
      </c>
    </row>
    <row r="460" spans="1:5" x14ac:dyDescent="0.25">
      <c r="A460" s="1" t="str">
        <f t="shared" si="7"/>
        <v>ND United American Insurance Co</v>
      </c>
      <c r="B460" s="1" t="s">
        <v>240</v>
      </c>
      <c r="C460" s="1" t="s">
        <v>637</v>
      </c>
      <c r="D460" s="1" t="s">
        <v>18</v>
      </c>
      <c r="E460" s="1" t="s">
        <v>19</v>
      </c>
    </row>
    <row r="461" spans="1:5" x14ac:dyDescent="0.25">
      <c r="A461" s="1" t="str">
        <f t="shared" si="7"/>
        <v>ND UnitedHealthcare Insurance Company</v>
      </c>
      <c r="B461" s="1" t="s">
        <v>240</v>
      </c>
      <c r="C461" s="1" t="s">
        <v>637</v>
      </c>
      <c r="D461" s="1" t="s">
        <v>20</v>
      </c>
      <c r="E461" s="1" t="s">
        <v>21</v>
      </c>
    </row>
    <row r="462" spans="1:5" x14ac:dyDescent="0.25">
      <c r="A462" s="1" t="str">
        <f t="shared" si="7"/>
        <v>OH Aetna Health Inc. (a Pennsylvania corporation)</v>
      </c>
      <c r="B462" s="1" t="s">
        <v>243</v>
      </c>
      <c r="C462" s="1" t="s">
        <v>710</v>
      </c>
      <c r="D462" s="1" t="s">
        <v>26</v>
      </c>
      <c r="E462" s="1" t="s">
        <v>5</v>
      </c>
    </row>
    <row r="463" spans="1:5" x14ac:dyDescent="0.25">
      <c r="A463" s="1" t="str">
        <f t="shared" si="7"/>
        <v>OH Aetna Life Insurance Company</v>
      </c>
      <c r="B463" s="1" t="s">
        <v>243</v>
      </c>
      <c r="C463" s="1" t="s">
        <v>710</v>
      </c>
      <c r="D463" s="1" t="s">
        <v>4</v>
      </c>
      <c r="E463" s="1" t="s">
        <v>5</v>
      </c>
    </row>
    <row r="464" spans="1:5" x14ac:dyDescent="0.25">
      <c r="A464" s="1" t="str">
        <f t="shared" si="7"/>
        <v>OH Anthem Insurance Companies, Inc.</v>
      </c>
      <c r="B464" s="1" t="s">
        <v>243</v>
      </c>
      <c r="C464" s="1" t="s">
        <v>710</v>
      </c>
      <c r="D464" s="1" t="s">
        <v>118</v>
      </c>
      <c r="E464" s="1" t="s">
        <v>17</v>
      </c>
    </row>
    <row r="465" spans="1:5" x14ac:dyDescent="0.25">
      <c r="A465" s="1" t="str">
        <f t="shared" si="7"/>
        <v>OH AultCare Insurance Company</v>
      </c>
      <c r="B465" s="1" t="s">
        <v>243</v>
      </c>
      <c r="C465" s="1" t="s">
        <v>710</v>
      </c>
      <c r="D465" s="1" t="s">
        <v>244</v>
      </c>
    </row>
    <row r="466" spans="1:5" x14ac:dyDescent="0.25">
      <c r="A466" s="1" t="str">
        <f t="shared" si="7"/>
        <v>OH Celtic Insurance Company</v>
      </c>
      <c r="B466" s="1" t="s">
        <v>243</v>
      </c>
      <c r="C466" s="1" t="s">
        <v>710</v>
      </c>
      <c r="D466" s="1" t="s">
        <v>7</v>
      </c>
      <c r="E466" s="1" t="s">
        <v>8</v>
      </c>
    </row>
    <row r="467" spans="1:5" x14ac:dyDescent="0.25">
      <c r="A467" s="1" t="str">
        <f t="shared" si="7"/>
        <v>OH Community Insurance Company</v>
      </c>
      <c r="B467" s="1" t="s">
        <v>243</v>
      </c>
      <c r="C467" s="1" t="s">
        <v>710</v>
      </c>
      <c r="D467" s="1" t="s">
        <v>245</v>
      </c>
      <c r="E467" s="1" t="s">
        <v>17</v>
      </c>
    </row>
    <row r="468" spans="1:5" x14ac:dyDescent="0.25">
      <c r="A468" s="1" t="str">
        <f t="shared" si="7"/>
        <v>OH Connecticut General Life Insurance Company</v>
      </c>
      <c r="B468" s="1" t="s">
        <v>243</v>
      </c>
      <c r="C468" s="1" t="s">
        <v>710</v>
      </c>
      <c r="D468" s="1" t="s">
        <v>9</v>
      </c>
      <c r="E468" s="1" t="s">
        <v>10</v>
      </c>
    </row>
    <row r="469" spans="1:5" x14ac:dyDescent="0.25">
      <c r="A469" s="1" t="str">
        <f t="shared" si="7"/>
        <v>OH Coventry Health &amp; Life Insuance Company</v>
      </c>
      <c r="B469" s="1" t="s">
        <v>243</v>
      </c>
      <c r="C469" s="1" t="s">
        <v>710</v>
      </c>
      <c r="D469" s="1" t="s">
        <v>35</v>
      </c>
      <c r="E469" s="1" t="s">
        <v>36</v>
      </c>
    </row>
    <row r="470" spans="1:5" x14ac:dyDescent="0.25">
      <c r="A470" s="1" t="str">
        <f t="shared" si="7"/>
        <v>OH Humana Health Plan of Ohio, Inc.</v>
      </c>
      <c r="B470" s="1" t="s">
        <v>243</v>
      </c>
      <c r="C470" s="1" t="s">
        <v>710</v>
      </c>
      <c r="D470" s="1" t="s">
        <v>132</v>
      </c>
      <c r="E470" s="1" t="s">
        <v>14</v>
      </c>
    </row>
    <row r="471" spans="1:5" x14ac:dyDescent="0.25">
      <c r="A471" s="1" t="str">
        <f t="shared" si="7"/>
        <v>OH Humana Insurance Company, Inc.</v>
      </c>
      <c r="B471" s="1" t="s">
        <v>243</v>
      </c>
      <c r="C471" s="1" t="s">
        <v>710</v>
      </c>
      <c r="D471" s="1" t="s">
        <v>15</v>
      </c>
      <c r="E471" s="1" t="s">
        <v>14</v>
      </c>
    </row>
    <row r="472" spans="1:5" x14ac:dyDescent="0.25">
      <c r="A472" s="1" t="str">
        <f t="shared" si="7"/>
        <v>OH Kaiser Foundation Health Plan of Ohio</v>
      </c>
      <c r="B472" s="1" t="s">
        <v>243</v>
      </c>
      <c r="C472" s="1" t="s">
        <v>710</v>
      </c>
      <c r="D472" s="1" t="s">
        <v>246</v>
      </c>
      <c r="E472" s="1" t="s">
        <v>56</v>
      </c>
    </row>
    <row r="473" spans="1:5" x14ac:dyDescent="0.25">
      <c r="A473" s="1" t="str">
        <f t="shared" si="7"/>
        <v>OH PacifiCare Life and Health Insurance Co</v>
      </c>
      <c r="B473" s="1" t="s">
        <v>243</v>
      </c>
      <c r="C473" s="1" t="s">
        <v>710</v>
      </c>
      <c r="D473" s="1" t="s">
        <v>66</v>
      </c>
      <c r="E473" s="1" t="s">
        <v>32</v>
      </c>
    </row>
    <row r="474" spans="1:5" x14ac:dyDescent="0.25">
      <c r="A474" s="1" t="str">
        <f t="shared" si="7"/>
        <v>OH Paramount Care, Inc.</v>
      </c>
      <c r="B474" s="1" t="s">
        <v>243</v>
      </c>
      <c r="C474" s="1" t="s">
        <v>710</v>
      </c>
      <c r="D474" s="1" t="s">
        <v>247</v>
      </c>
    </row>
    <row r="475" spans="1:5" x14ac:dyDescent="0.25">
      <c r="A475" s="1" t="str">
        <f t="shared" si="7"/>
        <v>OH SummaCare, Inc.</v>
      </c>
      <c r="B475" s="1" t="s">
        <v>243</v>
      </c>
      <c r="C475" s="1" t="s">
        <v>710</v>
      </c>
      <c r="D475" s="1" t="s">
        <v>248</v>
      </c>
      <c r="E475" s="1" t="s">
        <v>249</v>
      </c>
    </row>
    <row r="476" spans="1:5" x14ac:dyDescent="0.25">
      <c r="A476" s="1" t="str">
        <f t="shared" si="7"/>
        <v>OH UNICARE Life &amp; Health Insurance Company</v>
      </c>
      <c r="B476" s="1" t="s">
        <v>243</v>
      </c>
      <c r="C476" s="1" t="s">
        <v>710</v>
      </c>
      <c r="D476" s="1" t="s">
        <v>16</v>
      </c>
      <c r="E476" s="1" t="s">
        <v>17</v>
      </c>
    </row>
    <row r="477" spans="1:5" x14ac:dyDescent="0.25">
      <c r="A477" s="1" t="str">
        <f t="shared" si="7"/>
        <v>OH United American Insurance Co</v>
      </c>
      <c r="B477" s="1" t="s">
        <v>243</v>
      </c>
      <c r="C477" s="1" t="s">
        <v>710</v>
      </c>
      <c r="D477" s="1" t="s">
        <v>18</v>
      </c>
      <c r="E477" s="1" t="s">
        <v>19</v>
      </c>
    </row>
    <row r="478" spans="1:5" x14ac:dyDescent="0.25">
      <c r="A478" s="1" t="str">
        <f t="shared" si="7"/>
        <v>OH UnitedHealthcare Insurance Company</v>
      </c>
      <c r="B478" s="1" t="s">
        <v>243</v>
      </c>
      <c r="C478" s="1" t="s">
        <v>710</v>
      </c>
      <c r="D478" s="1" t="s">
        <v>20</v>
      </c>
      <c r="E478" s="1" t="s">
        <v>21</v>
      </c>
    </row>
    <row r="479" spans="1:5" x14ac:dyDescent="0.25">
      <c r="A479" s="1" t="str">
        <f t="shared" si="7"/>
        <v>OH UnitedHealthcare of Ohio, Inc</v>
      </c>
      <c r="B479" s="1" t="s">
        <v>243</v>
      </c>
      <c r="C479" s="1" t="s">
        <v>710</v>
      </c>
      <c r="D479" s="1" t="s">
        <v>133</v>
      </c>
      <c r="E479" s="1" t="s">
        <v>134</v>
      </c>
    </row>
    <row r="480" spans="1:5" x14ac:dyDescent="0.25">
      <c r="A480" s="1" t="str">
        <f t="shared" si="7"/>
        <v>OK Aetna Health Inc. (a Pennsylvania corporation)</v>
      </c>
      <c r="B480" s="1" t="s">
        <v>250</v>
      </c>
      <c r="C480" s="1" t="s">
        <v>722</v>
      </c>
      <c r="D480" s="1" t="s">
        <v>26</v>
      </c>
      <c r="E480" s="1" t="s">
        <v>5</v>
      </c>
    </row>
    <row r="481" spans="1:5" x14ac:dyDescent="0.25">
      <c r="A481" s="1" t="str">
        <f t="shared" si="7"/>
        <v>OK Aetna Life Insurance Company</v>
      </c>
      <c r="B481" s="1" t="s">
        <v>250</v>
      </c>
      <c r="C481" s="1" t="s">
        <v>722</v>
      </c>
      <c r="D481" s="1" t="s">
        <v>4</v>
      </c>
      <c r="E481" s="1" t="s">
        <v>5</v>
      </c>
    </row>
    <row r="482" spans="1:5" x14ac:dyDescent="0.25">
      <c r="A482" s="1" t="str">
        <f t="shared" si="7"/>
        <v>OK Celtic Insurance Company</v>
      </c>
      <c r="B482" s="1" t="s">
        <v>250</v>
      </c>
      <c r="C482" s="1" t="s">
        <v>722</v>
      </c>
      <c r="D482" s="1" t="s">
        <v>7</v>
      </c>
      <c r="E482" s="1" t="s">
        <v>8</v>
      </c>
    </row>
    <row r="483" spans="1:5" x14ac:dyDescent="0.25">
      <c r="A483" s="1" t="str">
        <f t="shared" si="7"/>
        <v>OK CommunityCare HMO, Inc.</v>
      </c>
      <c r="B483" s="1" t="s">
        <v>250</v>
      </c>
      <c r="C483" s="1" t="s">
        <v>722</v>
      </c>
      <c r="D483" s="1" t="s">
        <v>251</v>
      </c>
    </row>
    <row r="484" spans="1:5" x14ac:dyDescent="0.25">
      <c r="A484" s="1" t="str">
        <f t="shared" si="7"/>
        <v>OK CommunityCare Life &amp; Health Insurance Company</v>
      </c>
      <c r="B484" s="1" t="s">
        <v>250</v>
      </c>
      <c r="C484" s="1" t="s">
        <v>722</v>
      </c>
      <c r="D484" s="1" t="s">
        <v>252</v>
      </c>
    </row>
    <row r="485" spans="1:5" x14ac:dyDescent="0.25">
      <c r="A485" s="1" t="str">
        <f t="shared" si="7"/>
        <v>OK Connecticut General Life Insurance Company</v>
      </c>
      <c r="B485" s="1" t="s">
        <v>250</v>
      </c>
      <c r="C485" s="1" t="s">
        <v>722</v>
      </c>
      <c r="D485" s="1" t="s">
        <v>9</v>
      </c>
      <c r="E485" s="1" t="s">
        <v>10</v>
      </c>
    </row>
    <row r="486" spans="1:5" x14ac:dyDescent="0.25">
      <c r="A486" s="1" t="str">
        <f t="shared" si="7"/>
        <v>OK Coventry Health &amp; Life Insuance Company</v>
      </c>
      <c r="B486" s="1" t="s">
        <v>250</v>
      </c>
      <c r="C486" s="1" t="s">
        <v>722</v>
      </c>
      <c r="D486" s="1" t="s">
        <v>35</v>
      </c>
      <c r="E486" s="1" t="s">
        <v>36</v>
      </c>
    </row>
    <row r="487" spans="1:5" x14ac:dyDescent="0.25">
      <c r="A487" s="1" t="str">
        <f t="shared" si="7"/>
        <v>OK Humana Insurance Company, Inc.</v>
      </c>
      <c r="B487" s="1" t="s">
        <v>250</v>
      </c>
      <c r="C487" s="1" t="s">
        <v>722</v>
      </c>
      <c r="D487" s="1" t="s">
        <v>15</v>
      </c>
      <c r="E487" s="1" t="s">
        <v>14</v>
      </c>
    </row>
    <row r="488" spans="1:5" x14ac:dyDescent="0.25">
      <c r="A488" s="1" t="str">
        <f t="shared" si="7"/>
        <v>OK PacifiCare Life and Health Insurance Co</v>
      </c>
      <c r="B488" s="1" t="s">
        <v>250</v>
      </c>
      <c r="C488" s="1" t="s">
        <v>722</v>
      </c>
      <c r="D488" s="1" t="s">
        <v>66</v>
      </c>
      <c r="E488" s="1" t="s">
        <v>32</v>
      </c>
    </row>
    <row r="489" spans="1:5" x14ac:dyDescent="0.25">
      <c r="A489" s="1" t="str">
        <f t="shared" si="7"/>
        <v>OK UNICARE Life &amp; Health Insurance Company</v>
      </c>
      <c r="B489" s="1" t="s">
        <v>250</v>
      </c>
      <c r="C489" s="1" t="s">
        <v>722</v>
      </c>
      <c r="D489" s="1" t="s">
        <v>16</v>
      </c>
      <c r="E489" s="1" t="s">
        <v>17</v>
      </c>
    </row>
    <row r="490" spans="1:5" x14ac:dyDescent="0.25">
      <c r="A490" s="1" t="str">
        <f t="shared" si="7"/>
        <v>OK United American Insurance Co</v>
      </c>
      <c r="B490" s="1" t="s">
        <v>250</v>
      </c>
      <c r="C490" s="1" t="s">
        <v>722</v>
      </c>
      <c r="D490" s="1" t="s">
        <v>18</v>
      </c>
      <c r="E490" s="1" t="s">
        <v>19</v>
      </c>
    </row>
    <row r="491" spans="1:5" x14ac:dyDescent="0.25">
      <c r="A491" s="1" t="str">
        <f t="shared" si="7"/>
        <v>OK UnitedHealthcare Insurance Company</v>
      </c>
      <c r="B491" s="1" t="s">
        <v>250</v>
      </c>
      <c r="C491" s="1" t="s">
        <v>722</v>
      </c>
      <c r="D491" s="1" t="s">
        <v>20</v>
      </c>
      <c r="E491" s="1" t="s">
        <v>21</v>
      </c>
    </row>
    <row r="492" spans="1:5" x14ac:dyDescent="0.25">
      <c r="A492" s="1" t="str">
        <f t="shared" si="7"/>
        <v>OK UnitedHealthcare of Oklahoma, Inc.</v>
      </c>
      <c r="B492" s="1" t="s">
        <v>250</v>
      </c>
      <c r="C492" s="1" t="s">
        <v>722</v>
      </c>
      <c r="D492" s="1" t="s">
        <v>253</v>
      </c>
      <c r="E492" s="1" t="s">
        <v>21</v>
      </c>
    </row>
    <row r="493" spans="1:5" x14ac:dyDescent="0.25">
      <c r="A493" s="1" t="str">
        <f t="shared" si="7"/>
        <v>OR Aetna Life Insurance Company</v>
      </c>
      <c r="B493" s="1" t="s">
        <v>254</v>
      </c>
      <c r="C493" s="1" t="s">
        <v>728</v>
      </c>
      <c r="D493" s="1" t="s">
        <v>4</v>
      </c>
      <c r="E493" s="1" t="s">
        <v>5</v>
      </c>
    </row>
    <row r="494" spans="1:5" x14ac:dyDescent="0.25">
      <c r="A494" s="1" t="str">
        <f t="shared" si="7"/>
        <v>OR Asuris Northwest Health</v>
      </c>
      <c r="B494" s="1" t="s">
        <v>254</v>
      </c>
      <c r="C494" s="1" t="s">
        <v>728</v>
      </c>
      <c r="D494" s="1" t="s">
        <v>255</v>
      </c>
      <c r="E494" s="1" t="s">
        <v>105</v>
      </c>
    </row>
    <row r="495" spans="1:5" x14ac:dyDescent="0.25">
      <c r="A495" s="1" t="str">
        <f t="shared" si="7"/>
        <v>OR Connecticut General Life Insurance Company</v>
      </c>
      <c r="B495" s="1" t="s">
        <v>254</v>
      </c>
      <c r="C495" s="1" t="s">
        <v>728</v>
      </c>
      <c r="D495" s="1" t="s">
        <v>9</v>
      </c>
      <c r="E495" s="1" t="s">
        <v>10</v>
      </c>
    </row>
    <row r="496" spans="1:5" x14ac:dyDescent="0.25">
      <c r="A496" s="1" t="str">
        <f t="shared" si="7"/>
        <v>OR Health Net Health Plan of Oregon, Inc</v>
      </c>
      <c r="B496" s="1" t="s">
        <v>254</v>
      </c>
      <c r="C496" s="1" t="s">
        <v>728</v>
      </c>
      <c r="D496" s="1" t="s">
        <v>256</v>
      </c>
      <c r="E496" s="1" t="s">
        <v>29</v>
      </c>
    </row>
    <row r="497" spans="1:5" x14ac:dyDescent="0.25">
      <c r="A497" s="1" t="str">
        <f t="shared" si="7"/>
        <v>OR Humana Insurance Company, Inc.</v>
      </c>
      <c r="B497" s="1" t="s">
        <v>254</v>
      </c>
      <c r="C497" s="1" t="s">
        <v>728</v>
      </c>
      <c r="D497" s="1" t="s">
        <v>15</v>
      </c>
      <c r="E497" s="1" t="s">
        <v>14</v>
      </c>
    </row>
    <row r="498" spans="1:5" x14ac:dyDescent="0.25">
      <c r="A498" s="1" t="str">
        <f t="shared" si="7"/>
        <v>OR Humana Medical Plan, Inc.</v>
      </c>
      <c r="B498" s="1" t="s">
        <v>254</v>
      </c>
      <c r="C498" s="1" t="s">
        <v>728</v>
      </c>
      <c r="D498" s="1" t="s">
        <v>86</v>
      </c>
      <c r="E498" s="1" t="s">
        <v>14</v>
      </c>
    </row>
    <row r="499" spans="1:5" x14ac:dyDescent="0.25">
      <c r="A499" s="1" t="str">
        <f t="shared" si="7"/>
        <v>OR Kaiser Foundation Health Plan of the Northwest</v>
      </c>
      <c r="B499" s="1" t="s">
        <v>254</v>
      </c>
      <c r="C499" s="1" t="s">
        <v>728</v>
      </c>
      <c r="D499" s="1" t="s">
        <v>257</v>
      </c>
      <c r="E499" s="1" t="s">
        <v>56</v>
      </c>
    </row>
    <row r="500" spans="1:5" x14ac:dyDescent="0.25">
      <c r="A500" s="1" t="str">
        <f t="shared" si="7"/>
        <v>OR ODS Health Plan, Inc.</v>
      </c>
      <c r="B500" s="1" t="s">
        <v>254</v>
      </c>
      <c r="C500" s="1" t="s">
        <v>728</v>
      </c>
      <c r="D500" s="1" t="s">
        <v>258</v>
      </c>
      <c r="E500" s="1" t="s">
        <v>259</v>
      </c>
    </row>
    <row r="501" spans="1:5" x14ac:dyDescent="0.25">
      <c r="A501" s="1" t="str">
        <f t="shared" si="7"/>
        <v>OR PacifiCare Life and Health Insurance Co</v>
      </c>
      <c r="B501" s="1" t="s">
        <v>254</v>
      </c>
      <c r="C501" s="1" t="s">
        <v>728</v>
      </c>
      <c r="D501" s="1" t="s">
        <v>66</v>
      </c>
      <c r="E501" s="1" t="s">
        <v>32</v>
      </c>
    </row>
    <row r="502" spans="1:5" x14ac:dyDescent="0.25">
      <c r="A502" s="1" t="str">
        <f t="shared" si="7"/>
        <v>OR PacificSource Community Health Plans</v>
      </c>
      <c r="B502" s="1" t="s">
        <v>254</v>
      </c>
      <c r="C502" s="1" t="s">
        <v>728</v>
      </c>
      <c r="D502" s="1" t="s">
        <v>260</v>
      </c>
      <c r="E502" s="1" t="s">
        <v>261</v>
      </c>
    </row>
    <row r="503" spans="1:5" x14ac:dyDescent="0.25">
      <c r="A503" s="1" t="str">
        <f t="shared" si="7"/>
        <v>OR PacificSource Health Plans</v>
      </c>
      <c r="B503" s="1" t="s">
        <v>254</v>
      </c>
      <c r="C503" s="1" t="s">
        <v>728</v>
      </c>
      <c r="D503" s="1" t="s">
        <v>262</v>
      </c>
      <c r="E503" s="1" t="s">
        <v>261</v>
      </c>
    </row>
    <row r="504" spans="1:5" x14ac:dyDescent="0.25">
      <c r="A504" s="1" t="str">
        <f t="shared" si="7"/>
        <v>OR Providence Health Plan</v>
      </c>
      <c r="B504" s="1" t="s">
        <v>254</v>
      </c>
      <c r="C504" s="1" t="s">
        <v>728</v>
      </c>
      <c r="D504" s="1" t="s">
        <v>263</v>
      </c>
    </row>
    <row r="505" spans="1:5" x14ac:dyDescent="0.25">
      <c r="A505" s="1" t="str">
        <f t="shared" si="7"/>
        <v>OR Regence BlueCross BlueShield of Oregon</v>
      </c>
      <c r="B505" s="1" t="s">
        <v>254</v>
      </c>
      <c r="C505" s="1" t="s">
        <v>728</v>
      </c>
      <c r="D505" s="1" t="s">
        <v>264</v>
      </c>
      <c r="E505" s="1" t="s">
        <v>105</v>
      </c>
    </row>
    <row r="506" spans="1:5" x14ac:dyDescent="0.25">
      <c r="A506" s="1" t="str">
        <f t="shared" si="7"/>
        <v>OR Sierra Health and Life Insurance Company, Inc.</v>
      </c>
      <c r="B506" s="1" t="s">
        <v>254</v>
      </c>
      <c r="C506" s="1" t="s">
        <v>728</v>
      </c>
      <c r="D506" s="1" t="s">
        <v>31</v>
      </c>
      <c r="E506" s="1" t="s">
        <v>32</v>
      </c>
    </row>
    <row r="507" spans="1:5" x14ac:dyDescent="0.25">
      <c r="A507" s="1" t="str">
        <f t="shared" si="7"/>
        <v>OR UNICARE Life &amp; Health Insurance Company</v>
      </c>
      <c r="B507" s="1" t="s">
        <v>254</v>
      </c>
      <c r="C507" s="1" t="s">
        <v>728</v>
      </c>
      <c r="D507" s="1" t="s">
        <v>16</v>
      </c>
      <c r="E507" s="1" t="s">
        <v>17</v>
      </c>
    </row>
    <row r="508" spans="1:5" x14ac:dyDescent="0.25">
      <c r="A508" s="1" t="str">
        <f t="shared" si="7"/>
        <v>OR United American Insurance Co</v>
      </c>
      <c r="B508" s="1" t="s">
        <v>254</v>
      </c>
      <c r="C508" s="1" t="s">
        <v>728</v>
      </c>
      <c r="D508" s="1" t="s">
        <v>18</v>
      </c>
      <c r="E508" s="1" t="s">
        <v>19</v>
      </c>
    </row>
    <row r="509" spans="1:5" x14ac:dyDescent="0.25">
      <c r="A509" s="1" t="str">
        <f t="shared" si="7"/>
        <v>OR UnitedHealthcare Insurance Company</v>
      </c>
      <c r="B509" s="1" t="s">
        <v>254</v>
      </c>
      <c r="C509" s="1" t="s">
        <v>728</v>
      </c>
      <c r="D509" s="1" t="s">
        <v>20</v>
      </c>
      <c r="E509" s="1" t="s">
        <v>21</v>
      </c>
    </row>
    <row r="510" spans="1:5" x14ac:dyDescent="0.25">
      <c r="A510" s="1" t="str">
        <f t="shared" si="7"/>
        <v>OR UnitedHealthcare of Oregon, Inc.</v>
      </c>
      <c r="B510" s="1" t="s">
        <v>254</v>
      </c>
      <c r="C510" s="1" t="s">
        <v>728</v>
      </c>
      <c r="D510" s="1" t="s">
        <v>265</v>
      </c>
      <c r="E510" s="1" t="s">
        <v>21</v>
      </c>
    </row>
    <row r="511" spans="1:5" x14ac:dyDescent="0.25">
      <c r="A511" s="1" t="str">
        <f t="shared" si="7"/>
        <v>PA Aetna Health Inc. (a Pennsylvania corporation)</v>
      </c>
      <c r="B511" s="1" t="s">
        <v>266</v>
      </c>
      <c r="C511" s="1" t="s">
        <v>744</v>
      </c>
      <c r="D511" s="1" t="s">
        <v>26</v>
      </c>
      <c r="E511" s="1" t="s">
        <v>5</v>
      </c>
    </row>
    <row r="512" spans="1:5" x14ac:dyDescent="0.25">
      <c r="A512" s="1" t="str">
        <f t="shared" si="7"/>
        <v>PA Aetna Life Insurance Company</v>
      </c>
      <c r="B512" s="1" t="s">
        <v>266</v>
      </c>
      <c r="C512" s="1" t="s">
        <v>744</v>
      </c>
      <c r="D512" s="1" t="s">
        <v>4</v>
      </c>
      <c r="E512" s="1" t="s">
        <v>5</v>
      </c>
    </row>
    <row r="513" spans="1:5" x14ac:dyDescent="0.25">
      <c r="A513" s="1" t="str">
        <f t="shared" si="7"/>
        <v>PA Capital Advantage Insurance Company</v>
      </c>
      <c r="B513" s="1" t="s">
        <v>266</v>
      </c>
      <c r="C513" s="1" t="s">
        <v>744</v>
      </c>
      <c r="D513" s="1" t="s">
        <v>267</v>
      </c>
      <c r="E513" s="1" t="s">
        <v>268</v>
      </c>
    </row>
    <row r="514" spans="1:5" x14ac:dyDescent="0.25">
      <c r="A514" s="1" t="str">
        <f t="shared" si="7"/>
        <v>PA Capital BlueCross</v>
      </c>
      <c r="B514" s="1" t="s">
        <v>266</v>
      </c>
      <c r="C514" s="1" t="s">
        <v>744</v>
      </c>
      <c r="D514" s="1" t="s">
        <v>269</v>
      </c>
      <c r="E514" s="1" t="s">
        <v>268</v>
      </c>
    </row>
    <row r="515" spans="1:5" x14ac:dyDescent="0.25">
      <c r="A515" s="1" t="str">
        <f t="shared" ref="A515:A578" si="8">C515&amp;" "&amp;D515</f>
        <v>PA Celtic Insurance Company</v>
      </c>
      <c r="B515" s="1" t="s">
        <v>266</v>
      </c>
      <c r="C515" s="1" t="s">
        <v>744</v>
      </c>
      <c r="D515" s="1" t="s">
        <v>7</v>
      </c>
      <c r="E515" s="1" t="s">
        <v>8</v>
      </c>
    </row>
    <row r="516" spans="1:5" x14ac:dyDescent="0.25">
      <c r="A516" s="1" t="str">
        <f t="shared" si="8"/>
        <v>PA Connecticut General Life Insurance Company</v>
      </c>
      <c r="B516" s="1" t="s">
        <v>266</v>
      </c>
      <c r="C516" s="1" t="s">
        <v>744</v>
      </c>
      <c r="D516" s="1" t="s">
        <v>9</v>
      </c>
      <c r="E516" s="1" t="s">
        <v>10</v>
      </c>
    </row>
    <row r="517" spans="1:5" x14ac:dyDescent="0.25">
      <c r="A517" s="1" t="str">
        <f t="shared" si="8"/>
        <v>PA Coventry Health &amp; Life Insuance Company</v>
      </c>
      <c r="B517" s="1" t="s">
        <v>266</v>
      </c>
      <c r="C517" s="1" t="s">
        <v>744</v>
      </c>
      <c r="D517" s="1" t="s">
        <v>35</v>
      </c>
      <c r="E517" s="1" t="s">
        <v>36</v>
      </c>
    </row>
    <row r="518" spans="1:5" x14ac:dyDescent="0.25">
      <c r="A518" s="1" t="str">
        <f t="shared" si="8"/>
        <v>PA Geisinger Health Plan</v>
      </c>
      <c r="B518" s="1" t="s">
        <v>266</v>
      </c>
      <c r="C518" s="1" t="s">
        <v>744</v>
      </c>
      <c r="D518" s="1" t="s">
        <v>270</v>
      </c>
      <c r="E518" s="1" t="s">
        <v>271</v>
      </c>
    </row>
    <row r="519" spans="1:5" x14ac:dyDescent="0.25">
      <c r="A519" s="1" t="str">
        <f t="shared" si="8"/>
        <v>PA Geisinger Indemnity Insurance Company</v>
      </c>
      <c r="B519" s="1" t="s">
        <v>266</v>
      </c>
      <c r="C519" s="1" t="s">
        <v>744</v>
      </c>
      <c r="D519" s="1" t="s">
        <v>272</v>
      </c>
      <c r="E519" s="1" t="s">
        <v>271</v>
      </c>
    </row>
    <row r="520" spans="1:5" x14ac:dyDescent="0.25">
      <c r="A520" s="1" t="str">
        <f t="shared" si="8"/>
        <v>PA HealthAmerica Pennsylvania, Inc.</v>
      </c>
      <c r="B520" s="1" t="s">
        <v>266</v>
      </c>
      <c r="C520" s="1" t="s">
        <v>744</v>
      </c>
      <c r="D520" s="1" t="s">
        <v>275</v>
      </c>
      <c r="E520" s="1" t="s">
        <v>36</v>
      </c>
    </row>
    <row r="521" spans="1:5" x14ac:dyDescent="0.25">
      <c r="A521" s="1" t="str">
        <f t="shared" si="8"/>
        <v>PA HealthAssurance Pennsylvania, Inc.</v>
      </c>
      <c r="B521" s="1" t="s">
        <v>266</v>
      </c>
      <c r="C521" s="1" t="s">
        <v>744</v>
      </c>
      <c r="D521" s="1" t="s">
        <v>276</v>
      </c>
      <c r="E521" s="1" t="s">
        <v>36</v>
      </c>
    </row>
    <row r="522" spans="1:5" x14ac:dyDescent="0.25">
      <c r="A522" s="1" t="str">
        <f t="shared" si="8"/>
        <v>PA Highmark, Inc.</v>
      </c>
      <c r="B522" s="1" t="s">
        <v>266</v>
      </c>
      <c r="C522" s="1" t="s">
        <v>744</v>
      </c>
      <c r="D522" s="1" t="s">
        <v>277</v>
      </c>
      <c r="E522" s="1" t="s">
        <v>278</v>
      </c>
    </row>
    <row r="523" spans="1:5" x14ac:dyDescent="0.25">
      <c r="A523" s="1" t="str">
        <f t="shared" si="8"/>
        <v>PA HMO of Northeastern PA, Inc.</v>
      </c>
      <c r="B523" s="1" t="s">
        <v>266</v>
      </c>
      <c r="C523" s="1" t="s">
        <v>744</v>
      </c>
      <c r="D523" s="1" t="s">
        <v>273</v>
      </c>
      <c r="E523" s="1" t="s">
        <v>274</v>
      </c>
    </row>
    <row r="524" spans="1:5" x14ac:dyDescent="0.25">
      <c r="A524" s="1" t="str">
        <f t="shared" si="8"/>
        <v>PA Humana Insurance Company, Inc.</v>
      </c>
      <c r="B524" s="1" t="s">
        <v>266</v>
      </c>
      <c r="C524" s="1" t="s">
        <v>744</v>
      </c>
      <c r="D524" s="1" t="s">
        <v>15</v>
      </c>
      <c r="E524" s="1" t="s">
        <v>14</v>
      </c>
    </row>
    <row r="525" spans="1:5" x14ac:dyDescent="0.25">
      <c r="A525" s="1" t="str">
        <f t="shared" si="8"/>
        <v>PA Keystone Health Plan Central</v>
      </c>
      <c r="B525" s="1" t="s">
        <v>266</v>
      </c>
      <c r="C525" s="1" t="s">
        <v>744</v>
      </c>
      <c r="D525" s="1" t="s">
        <v>279</v>
      </c>
      <c r="E525" s="1" t="s">
        <v>268</v>
      </c>
    </row>
    <row r="526" spans="1:5" x14ac:dyDescent="0.25">
      <c r="A526" s="1" t="str">
        <f t="shared" si="8"/>
        <v>PA Keystone Health Plan East</v>
      </c>
      <c r="B526" s="1" t="s">
        <v>266</v>
      </c>
      <c r="C526" s="1" t="s">
        <v>744</v>
      </c>
      <c r="D526" s="1" t="s">
        <v>280</v>
      </c>
      <c r="E526" s="1" t="s">
        <v>205</v>
      </c>
    </row>
    <row r="527" spans="1:5" x14ac:dyDescent="0.25">
      <c r="A527" s="1" t="str">
        <f t="shared" si="8"/>
        <v>PA Keystone Health Plan West, Inc.</v>
      </c>
      <c r="B527" s="1" t="s">
        <v>266</v>
      </c>
      <c r="C527" s="1" t="s">
        <v>744</v>
      </c>
      <c r="D527" s="1" t="s">
        <v>281</v>
      </c>
      <c r="E527" s="1" t="s">
        <v>278</v>
      </c>
    </row>
    <row r="528" spans="1:5" x14ac:dyDescent="0.25">
      <c r="A528" s="1" t="str">
        <f t="shared" si="8"/>
        <v>PA PacifiCare Life and Health Insurance Co</v>
      </c>
      <c r="B528" s="1" t="s">
        <v>266</v>
      </c>
      <c r="C528" s="1" t="s">
        <v>744</v>
      </c>
      <c r="D528" s="1" t="s">
        <v>66</v>
      </c>
      <c r="E528" s="1" t="s">
        <v>32</v>
      </c>
    </row>
    <row r="529" spans="1:5" x14ac:dyDescent="0.25">
      <c r="A529" s="1" t="str">
        <f t="shared" si="8"/>
        <v>PA QCC Insurance Company</v>
      </c>
      <c r="B529" s="1" t="s">
        <v>266</v>
      </c>
      <c r="C529" s="1" t="s">
        <v>744</v>
      </c>
      <c r="D529" s="1" t="s">
        <v>282</v>
      </c>
      <c r="E529" s="1" t="s">
        <v>205</v>
      </c>
    </row>
    <row r="530" spans="1:5" x14ac:dyDescent="0.25">
      <c r="A530" s="1" t="str">
        <f t="shared" si="8"/>
        <v>PA UNICARE Life &amp; Health Insurance Company</v>
      </c>
      <c r="B530" s="1" t="s">
        <v>266</v>
      </c>
      <c r="C530" s="1" t="s">
        <v>744</v>
      </c>
      <c r="D530" s="1" t="s">
        <v>16</v>
      </c>
      <c r="E530" s="1" t="s">
        <v>17</v>
      </c>
    </row>
    <row r="531" spans="1:5" x14ac:dyDescent="0.25">
      <c r="A531" s="1" t="str">
        <f t="shared" si="8"/>
        <v>PA United American Insurance Co</v>
      </c>
      <c r="B531" s="1" t="s">
        <v>266</v>
      </c>
      <c r="C531" s="1" t="s">
        <v>744</v>
      </c>
      <c r="D531" s="1" t="s">
        <v>18</v>
      </c>
      <c r="E531" s="1" t="s">
        <v>19</v>
      </c>
    </row>
    <row r="532" spans="1:5" x14ac:dyDescent="0.25">
      <c r="A532" s="1" t="str">
        <f t="shared" si="8"/>
        <v>PA UnitedHealthcare Insurance Company</v>
      </c>
      <c r="B532" s="1" t="s">
        <v>266</v>
      </c>
      <c r="C532" s="1" t="s">
        <v>744</v>
      </c>
      <c r="D532" s="1" t="s">
        <v>20</v>
      </c>
      <c r="E532" s="1" t="s">
        <v>21</v>
      </c>
    </row>
    <row r="533" spans="1:5" x14ac:dyDescent="0.25">
      <c r="A533" s="1" t="str">
        <f t="shared" si="8"/>
        <v>PA UPMC Health Benefits, Inc.</v>
      </c>
      <c r="B533" s="1" t="s">
        <v>266</v>
      </c>
      <c r="C533" s="1" t="s">
        <v>744</v>
      </c>
      <c r="D533" s="1" t="s">
        <v>283</v>
      </c>
      <c r="E533" s="1" t="s">
        <v>284</v>
      </c>
    </row>
    <row r="534" spans="1:5" x14ac:dyDescent="0.25">
      <c r="A534" s="1" t="str">
        <f t="shared" si="8"/>
        <v>PA UPMC Health Network, Inc.</v>
      </c>
      <c r="B534" s="1" t="s">
        <v>266</v>
      </c>
      <c r="C534" s="1" t="s">
        <v>744</v>
      </c>
      <c r="D534" s="1" t="s">
        <v>285</v>
      </c>
      <c r="E534" s="1" t="s">
        <v>284</v>
      </c>
    </row>
    <row r="535" spans="1:5" x14ac:dyDescent="0.25">
      <c r="A535" s="1" t="str">
        <f t="shared" si="8"/>
        <v>PA UPMC Health Plan, Inc.</v>
      </c>
      <c r="B535" s="1" t="s">
        <v>266</v>
      </c>
      <c r="C535" s="1" t="s">
        <v>744</v>
      </c>
      <c r="D535" s="1" t="s">
        <v>286</v>
      </c>
      <c r="E535" s="1" t="s">
        <v>284</v>
      </c>
    </row>
    <row r="536" spans="1:5" x14ac:dyDescent="0.25">
      <c r="A536" s="1" t="e">
        <f t="shared" si="8"/>
        <v>#N/A</v>
      </c>
      <c r="B536" s="1" t="s">
        <v>287</v>
      </c>
      <c r="C536" s="1" t="e">
        <v>#N/A</v>
      </c>
      <c r="D536" s="1" t="s">
        <v>9</v>
      </c>
      <c r="E536" s="1" t="s">
        <v>10</v>
      </c>
    </row>
    <row r="537" spans="1:5" x14ac:dyDescent="0.25">
      <c r="A537" s="1" t="e">
        <f t="shared" si="8"/>
        <v>#N/A</v>
      </c>
      <c r="B537" s="1" t="s">
        <v>287</v>
      </c>
      <c r="C537" s="1" t="e">
        <v>#N/A</v>
      </c>
      <c r="D537" s="1" t="s">
        <v>288</v>
      </c>
      <c r="E537" s="1" t="s">
        <v>289</v>
      </c>
    </row>
    <row r="538" spans="1:5" x14ac:dyDescent="0.25">
      <c r="A538" s="1" t="e">
        <f t="shared" si="8"/>
        <v>#N/A</v>
      </c>
      <c r="B538" s="1" t="s">
        <v>287</v>
      </c>
      <c r="C538" s="1" t="e">
        <v>#N/A</v>
      </c>
      <c r="D538" s="1" t="s">
        <v>290</v>
      </c>
      <c r="E538" s="1" t="s">
        <v>289</v>
      </c>
    </row>
    <row r="539" spans="1:5" x14ac:dyDescent="0.25">
      <c r="A539" s="1" t="e">
        <f t="shared" si="8"/>
        <v>#N/A</v>
      </c>
      <c r="B539" s="1" t="s">
        <v>287</v>
      </c>
      <c r="C539" s="1" t="e">
        <v>#N/A</v>
      </c>
      <c r="D539" s="1" t="s">
        <v>291</v>
      </c>
      <c r="E539" s="1" t="s">
        <v>292</v>
      </c>
    </row>
    <row r="540" spans="1:5" x14ac:dyDescent="0.25">
      <c r="A540" s="1" t="e">
        <f t="shared" si="8"/>
        <v>#N/A</v>
      </c>
      <c r="B540" s="1" t="s">
        <v>287</v>
      </c>
      <c r="C540" s="1" t="e">
        <v>#N/A</v>
      </c>
      <c r="D540" s="1" t="s">
        <v>293</v>
      </c>
    </row>
    <row r="541" spans="1:5" x14ac:dyDescent="0.25">
      <c r="A541" s="1" t="e">
        <f t="shared" si="8"/>
        <v>#N/A</v>
      </c>
      <c r="B541" s="1" t="s">
        <v>287</v>
      </c>
      <c r="C541" s="1" t="e">
        <v>#N/A</v>
      </c>
      <c r="D541" s="1" t="s">
        <v>16</v>
      </c>
      <c r="E541" s="1" t="s">
        <v>17</v>
      </c>
    </row>
    <row r="542" spans="1:5" x14ac:dyDescent="0.25">
      <c r="A542" s="1" t="e">
        <f t="shared" si="8"/>
        <v>#N/A</v>
      </c>
      <c r="B542" s="1" t="s">
        <v>287</v>
      </c>
      <c r="C542" s="1" t="e">
        <v>#N/A</v>
      </c>
      <c r="D542" s="1" t="s">
        <v>18</v>
      </c>
      <c r="E542" s="1" t="s">
        <v>19</v>
      </c>
    </row>
    <row r="543" spans="1:5" x14ac:dyDescent="0.25">
      <c r="A543" s="1" t="e">
        <f t="shared" si="8"/>
        <v>#N/A</v>
      </c>
      <c r="B543" s="1" t="s">
        <v>287</v>
      </c>
      <c r="C543" s="1" t="e">
        <v>#N/A</v>
      </c>
      <c r="D543" s="1" t="s">
        <v>20</v>
      </c>
      <c r="E543" s="1" t="s">
        <v>32</v>
      </c>
    </row>
    <row r="544" spans="1:5" x14ac:dyDescent="0.25">
      <c r="A544" s="1" t="str">
        <f t="shared" si="8"/>
        <v>RI Aetna Life Insurance Company</v>
      </c>
      <c r="B544" s="1" t="s">
        <v>294</v>
      </c>
      <c r="C544" s="1" t="s">
        <v>772</v>
      </c>
      <c r="D544" s="1" t="s">
        <v>4</v>
      </c>
      <c r="E544" s="1" t="s">
        <v>5</v>
      </c>
    </row>
    <row r="545" spans="1:5" x14ac:dyDescent="0.25">
      <c r="A545" s="1" t="str">
        <f t="shared" si="8"/>
        <v>RI Blue Cross &amp; Blue Shield of Rhode Island</v>
      </c>
      <c r="B545" s="1" t="s">
        <v>294</v>
      </c>
      <c r="C545" s="1" t="s">
        <v>772</v>
      </c>
      <c r="D545" s="1" t="s">
        <v>295</v>
      </c>
      <c r="E545" s="1" t="s">
        <v>295</v>
      </c>
    </row>
    <row r="546" spans="1:5" x14ac:dyDescent="0.25">
      <c r="A546" s="1" t="str">
        <f t="shared" si="8"/>
        <v>RI Celtic Insurance Company</v>
      </c>
      <c r="B546" s="1" t="s">
        <v>294</v>
      </c>
      <c r="C546" s="1" t="s">
        <v>772</v>
      </c>
      <c r="D546" s="1" t="s">
        <v>7</v>
      </c>
      <c r="E546" s="1" t="s">
        <v>8</v>
      </c>
    </row>
    <row r="547" spans="1:5" x14ac:dyDescent="0.25">
      <c r="A547" s="1" t="str">
        <f t="shared" si="8"/>
        <v>RI Connecticut General Life Insurance Company</v>
      </c>
      <c r="B547" s="1" t="s">
        <v>294</v>
      </c>
      <c r="C547" s="1" t="s">
        <v>772</v>
      </c>
      <c r="D547" s="1" t="s">
        <v>9</v>
      </c>
      <c r="E547" s="1" t="s">
        <v>10</v>
      </c>
    </row>
    <row r="548" spans="1:5" x14ac:dyDescent="0.25">
      <c r="A548" s="1" t="str">
        <f t="shared" si="8"/>
        <v>RI Humana Insurance Company, Inc.</v>
      </c>
      <c r="B548" s="1" t="s">
        <v>294</v>
      </c>
      <c r="C548" s="1" t="s">
        <v>772</v>
      </c>
      <c r="D548" s="1" t="s">
        <v>15</v>
      </c>
      <c r="E548" s="1" t="s">
        <v>14</v>
      </c>
    </row>
    <row r="549" spans="1:5" x14ac:dyDescent="0.25">
      <c r="A549" s="1" t="str">
        <f t="shared" si="8"/>
        <v>RI PacifiCare Life and Health Insurance Co</v>
      </c>
      <c r="B549" s="1" t="s">
        <v>294</v>
      </c>
      <c r="C549" s="1" t="s">
        <v>772</v>
      </c>
      <c r="D549" s="1" t="s">
        <v>66</v>
      </c>
      <c r="E549" s="1" t="s">
        <v>32</v>
      </c>
    </row>
    <row r="550" spans="1:5" x14ac:dyDescent="0.25">
      <c r="A550" s="1" t="str">
        <f t="shared" si="8"/>
        <v>RI Tufts Insurance Company</v>
      </c>
      <c r="B550" s="1" t="s">
        <v>294</v>
      </c>
      <c r="C550" s="1" t="s">
        <v>772</v>
      </c>
      <c r="D550" s="1" t="s">
        <v>67</v>
      </c>
      <c r="E550" s="1" t="s">
        <v>68</v>
      </c>
    </row>
    <row r="551" spans="1:5" x14ac:dyDescent="0.25">
      <c r="A551" s="1" t="str">
        <f t="shared" si="8"/>
        <v>RI UHC New England Inc.</v>
      </c>
      <c r="B551" s="1" t="s">
        <v>294</v>
      </c>
      <c r="C551" s="1" t="s">
        <v>772</v>
      </c>
      <c r="D551" s="1" t="s">
        <v>296</v>
      </c>
      <c r="E551" s="1" t="s">
        <v>134</v>
      </c>
    </row>
    <row r="552" spans="1:5" x14ac:dyDescent="0.25">
      <c r="A552" s="1" t="str">
        <f t="shared" si="8"/>
        <v>RI United American Insurance Co</v>
      </c>
      <c r="B552" s="1" t="s">
        <v>294</v>
      </c>
      <c r="C552" s="1" t="s">
        <v>772</v>
      </c>
      <c r="D552" s="1" t="s">
        <v>18</v>
      </c>
      <c r="E552" s="1" t="s">
        <v>19</v>
      </c>
    </row>
    <row r="553" spans="1:5" x14ac:dyDescent="0.25">
      <c r="A553" s="1" t="str">
        <f t="shared" si="8"/>
        <v>RI UnitedHealthcare Insurance Company</v>
      </c>
      <c r="B553" s="1" t="s">
        <v>294</v>
      </c>
      <c r="C553" s="1" t="s">
        <v>772</v>
      </c>
      <c r="D553" s="1" t="s">
        <v>20</v>
      </c>
      <c r="E553" s="1" t="s">
        <v>21</v>
      </c>
    </row>
    <row r="554" spans="1:5" x14ac:dyDescent="0.25">
      <c r="A554" s="1" t="str">
        <f t="shared" si="8"/>
        <v>SC Aetna Life Insurance Company</v>
      </c>
      <c r="B554" s="1" t="s">
        <v>297</v>
      </c>
      <c r="C554" s="1" t="s">
        <v>775</v>
      </c>
      <c r="D554" s="1" t="s">
        <v>4</v>
      </c>
      <c r="E554" s="1" t="s">
        <v>5</v>
      </c>
    </row>
    <row r="555" spans="1:5" x14ac:dyDescent="0.25">
      <c r="A555" s="1" t="str">
        <f t="shared" si="8"/>
        <v>SC BlueChoice HealthPlan of South Carolina, Inc.</v>
      </c>
      <c r="B555" s="1" t="s">
        <v>297</v>
      </c>
      <c r="C555" s="1" t="s">
        <v>775</v>
      </c>
      <c r="D555" s="1" t="s">
        <v>298</v>
      </c>
      <c r="E555" s="1" t="s">
        <v>299</v>
      </c>
    </row>
    <row r="556" spans="1:5" x14ac:dyDescent="0.25">
      <c r="A556" s="1" t="str">
        <f t="shared" si="8"/>
        <v>SC BlueCross and BlueShield of South Carolina</v>
      </c>
      <c r="B556" s="1" t="s">
        <v>297</v>
      </c>
      <c r="C556" s="1" t="s">
        <v>775</v>
      </c>
      <c r="D556" s="1" t="s">
        <v>300</v>
      </c>
      <c r="E556" s="1" t="s">
        <v>301</v>
      </c>
    </row>
    <row r="557" spans="1:5" x14ac:dyDescent="0.25">
      <c r="A557" s="1" t="str">
        <f t="shared" si="8"/>
        <v>SC Celtic Insurance Company</v>
      </c>
      <c r="B557" s="1" t="s">
        <v>297</v>
      </c>
      <c r="C557" s="1" t="s">
        <v>775</v>
      </c>
      <c r="D557" s="1" t="s">
        <v>7</v>
      </c>
      <c r="E557" s="1" t="s">
        <v>8</v>
      </c>
    </row>
    <row r="558" spans="1:5" x14ac:dyDescent="0.25">
      <c r="A558" s="1" t="str">
        <f t="shared" si="8"/>
        <v>SC Connecticut General Life Insurance Company</v>
      </c>
      <c r="B558" s="1" t="s">
        <v>297</v>
      </c>
      <c r="C558" s="1" t="s">
        <v>775</v>
      </c>
      <c r="D558" s="1" t="s">
        <v>9</v>
      </c>
      <c r="E558" s="1" t="s">
        <v>10</v>
      </c>
    </row>
    <row r="559" spans="1:5" x14ac:dyDescent="0.25">
      <c r="A559" s="1" t="str">
        <f t="shared" si="8"/>
        <v>SC Coventry Health &amp; Life Insuance Company</v>
      </c>
      <c r="B559" s="1" t="s">
        <v>297</v>
      </c>
      <c r="C559" s="1" t="s">
        <v>775</v>
      </c>
      <c r="D559" s="1" t="s">
        <v>35</v>
      </c>
      <c r="E559" s="1" t="s">
        <v>36</v>
      </c>
    </row>
    <row r="560" spans="1:5" x14ac:dyDescent="0.25">
      <c r="A560" s="1" t="str">
        <f t="shared" si="8"/>
        <v>SC Humana Health Plan, Inc.</v>
      </c>
      <c r="B560" s="1" t="s">
        <v>297</v>
      </c>
      <c r="C560" s="1" t="s">
        <v>775</v>
      </c>
      <c r="D560" s="1" t="s">
        <v>13</v>
      </c>
      <c r="E560" s="1" t="s">
        <v>14</v>
      </c>
    </row>
    <row r="561" spans="1:5" x14ac:dyDescent="0.25">
      <c r="A561" s="1" t="str">
        <f t="shared" si="8"/>
        <v>SC Humana Insurance Company, Inc.</v>
      </c>
      <c r="B561" s="1" t="s">
        <v>297</v>
      </c>
      <c r="C561" s="1" t="s">
        <v>775</v>
      </c>
      <c r="D561" s="1" t="s">
        <v>15</v>
      </c>
      <c r="E561" s="1" t="s">
        <v>14</v>
      </c>
    </row>
    <row r="562" spans="1:5" x14ac:dyDescent="0.25">
      <c r="A562" s="1" t="str">
        <f t="shared" si="8"/>
        <v>SC PacifiCare Life and Health Insurance Co</v>
      </c>
      <c r="B562" s="1" t="s">
        <v>297</v>
      </c>
      <c r="C562" s="1" t="s">
        <v>775</v>
      </c>
      <c r="D562" s="1" t="s">
        <v>66</v>
      </c>
      <c r="E562" s="1" t="s">
        <v>32</v>
      </c>
    </row>
    <row r="563" spans="1:5" x14ac:dyDescent="0.25">
      <c r="A563" s="1" t="str">
        <f t="shared" si="8"/>
        <v>SC UNICARE Life &amp; Health Insurance Company</v>
      </c>
      <c r="B563" s="1" t="s">
        <v>297</v>
      </c>
      <c r="C563" s="1" t="s">
        <v>775</v>
      </c>
      <c r="D563" s="1" t="s">
        <v>16</v>
      </c>
      <c r="E563" s="1" t="s">
        <v>17</v>
      </c>
    </row>
    <row r="564" spans="1:5" x14ac:dyDescent="0.25">
      <c r="A564" s="1" t="str">
        <f t="shared" si="8"/>
        <v>SC United American Insurance Co</v>
      </c>
      <c r="B564" s="1" t="s">
        <v>297</v>
      </c>
      <c r="C564" s="1" t="s">
        <v>775</v>
      </c>
      <c r="D564" s="1" t="s">
        <v>18</v>
      </c>
      <c r="E564" s="1" t="s">
        <v>19</v>
      </c>
    </row>
    <row r="565" spans="1:5" x14ac:dyDescent="0.25">
      <c r="A565" s="1" t="str">
        <f t="shared" si="8"/>
        <v>SC UnitedHealthcare Insurance Company</v>
      </c>
      <c r="B565" s="1" t="s">
        <v>297</v>
      </c>
      <c r="C565" s="1" t="s">
        <v>775</v>
      </c>
      <c r="D565" s="1" t="s">
        <v>20</v>
      </c>
      <c r="E565" s="1" t="s">
        <v>21</v>
      </c>
    </row>
    <row r="566" spans="1:5" x14ac:dyDescent="0.25">
      <c r="A566" s="1" t="str">
        <f t="shared" si="8"/>
        <v>SD Aetna Life Insurance Company</v>
      </c>
      <c r="B566" s="1" t="s">
        <v>302</v>
      </c>
      <c r="C566" s="1" t="s">
        <v>783</v>
      </c>
      <c r="D566" s="1" t="s">
        <v>4</v>
      </c>
      <c r="E566" s="1" t="s">
        <v>5</v>
      </c>
    </row>
    <row r="567" spans="1:5" x14ac:dyDescent="0.25">
      <c r="A567" s="1" t="str">
        <f t="shared" si="8"/>
        <v>SD Celtic Insurance Company</v>
      </c>
      <c r="B567" s="1" t="s">
        <v>302</v>
      </c>
      <c r="C567" s="1" t="s">
        <v>783</v>
      </c>
      <c r="D567" s="1" t="s">
        <v>7</v>
      </c>
      <c r="E567" s="1" t="s">
        <v>8</v>
      </c>
    </row>
    <row r="568" spans="1:5" x14ac:dyDescent="0.25">
      <c r="A568" s="1" t="str">
        <f t="shared" si="8"/>
        <v>SD Connecticut General Life Insurance Company</v>
      </c>
      <c r="B568" s="1" t="s">
        <v>302</v>
      </c>
      <c r="C568" s="1" t="s">
        <v>783</v>
      </c>
      <c r="D568" s="1" t="s">
        <v>9</v>
      </c>
      <c r="E568" s="1" t="s">
        <v>10</v>
      </c>
    </row>
    <row r="569" spans="1:5" x14ac:dyDescent="0.25">
      <c r="A569" s="1" t="str">
        <f t="shared" si="8"/>
        <v>SD Coventry Health &amp; Life Insuance Company</v>
      </c>
      <c r="B569" s="1" t="s">
        <v>302</v>
      </c>
      <c r="C569" s="1" t="s">
        <v>783</v>
      </c>
      <c r="D569" s="1" t="s">
        <v>35</v>
      </c>
      <c r="E569" s="1" t="s">
        <v>36</v>
      </c>
    </row>
    <row r="570" spans="1:5" x14ac:dyDescent="0.25">
      <c r="A570" s="1" t="str">
        <f t="shared" si="8"/>
        <v>SD Humana Insurance Company, Inc.</v>
      </c>
      <c r="B570" s="1" t="s">
        <v>302</v>
      </c>
      <c r="C570" s="1" t="s">
        <v>783</v>
      </c>
      <c r="D570" s="1" t="s">
        <v>15</v>
      </c>
      <c r="E570" s="1" t="s">
        <v>14</v>
      </c>
    </row>
    <row r="571" spans="1:5" x14ac:dyDescent="0.25">
      <c r="A571" s="1" t="str">
        <f t="shared" si="8"/>
        <v>SD Medica Insurance Company</v>
      </c>
      <c r="B571" s="1" t="s">
        <v>302</v>
      </c>
      <c r="C571" s="1" t="s">
        <v>783</v>
      </c>
      <c r="D571" s="1" t="s">
        <v>184</v>
      </c>
      <c r="E571" s="1" t="s">
        <v>183</v>
      </c>
    </row>
    <row r="572" spans="1:5" x14ac:dyDescent="0.25">
      <c r="A572" s="1" t="str">
        <f t="shared" si="8"/>
        <v>SD UNICARE Life &amp; Health Insurance Company</v>
      </c>
      <c r="B572" s="1" t="s">
        <v>302</v>
      </c>
      <c r="C572" s="1" t="s">
        <v>783</v>
      </c>
      <c r="D572" s="1" t="s">
        <v>16</v>
      </c>
      <c r="E572" s="1" t="s">
        <v>17</v>
      </c>
    </row>
    <row r="573" spans="1:5" x14ac:dyDescent="0.25">
      <c r="A573" s="1" t="str">
        <f t="shared" si="8"/>
        <v>SD United American Insurance Co</v>
      </c>
      <c r="B573" s="1" t="s">
        <v>302</v>
      </c>
      <c r="C573" s="1" t="s">
        <v>783</v>
      </c>
      <c r="D573" s="1" t="s">
        <v>18</v>
      </c>
      <c r="E573" s="1" t="s">
        <v>19</v>
      </c>
    </row>
    <row r="574" spans="1:5" x14ac:dyDescent="0.25">
      <c r="A574" s="1" t="str">
        <f t="shared" si="8"/>
        <v>SD UnitedHealthcare Insurance Company</v>
      </c>
      <c r="B574" s="1" t="s">
        <v>302</v>
      </c>
      <c r="C574" s="1" t="s">
        <v>783</v>
      </c>
      <c r="D574" s="1" t="s">
        <v>20</v>
      </c>
      <c r="E574" s="1" t="s">
        <v>21</v>
      </c>
    </row>
    <row r="575" spans="1:5" x14ac:dyDescent="0.25">
      <c r="A575" s="1" t="str">
        <f t="shared" si="8"/>
        <v>SD Wellmark of South Dakota, Inc.</v>
      </c>
      <c r="B575" s="1" t="s">
        <v>302</v>
      </c>
      <c r="C575" s="1" t="s">
        <v>783</v>
      </c>
      <c r="D575" s="1" t="s">
        <v>303</v>
      </c>
      <c r="E575" s="1" t="s">
        <v>124</v>
      </c>
    </row>
    <row r="576" spans="1:5" x14ac:dyDescent="0.25">
      <c r="A576" s="1" t="str">
        <f t="shared" si="8"/>
        <v>TN Aetna Health Inc. (a Pennsylvania corporation)</v>
      </c>
      <c r="B576" s="1" t="s">
        <v>304</v>
      </c>
      <c r="C576" s="1" t="s">
        <v>784</v>
      </c>
      <c r="D576" s="1" t="s">
        <v>26</v>
      </c>
      <c r="E576" s="1" t="s">
        <v>5</v>
      </c>
    </row>
    <row r="577" spans="1:5" x14ac:dyDescent="0.25">
      <c r="A577" s="1" t="str">
        <f t="shared" si="8"/>
        <v>TN Aetna Life Insurance Company</v>
      </c>
      <c r="B577" s="1" t="s">
        <v>304</v>
      </c>
      <c r="C577" s="1" t="s">
        <v>784</v>
      </c>
      <c r="D577" s="1" t="s">
        <v>4</v>
      </c>
      <c r="E577" s="1" t="s">
        <v>5</v>
      </c>
    </row>
    <row r="578" spans="1:5" x14ac:dyDescent="0.25">
      <c r="A578" s="1" t="str">
        <f t="shared" si="8"/>
        <v>TN BlueCross BlueShield of Tennessee, Inc.</v>
      </c>
      <c r="B578" s="1" t="s">
        <v>304</v>
      </c>
      <c r="C578" s="1" t="s">
        <v>784</v>
      </c>
      <c r="D578" s="1" t="s">
        <v>305</v>
      </c>
      <c r="E578" s="1" t="s">
        <v>306</v>
      </c>
    </row>
    <row r="579" spans="1:5" x14ac:dyDescent="0.25">
      <c r="A579" s="1" t="str">
        <f t="shared" ref="A579:A642" si="9">C579&amp;" "&amp;D579</f>
        <v>TN Celtic Insurance Company</v>
      </c>
      <c r="B579" s="1" t="s">
        <v>304</v>
      </c>
      <c r="C579" s="1" t="s">
        <v>784</v>
      </c>
      <c r="D579" s="1" t="s">
        <v>7</v>
      </c>
      <c r="E579" s="1" t="s">
        <v>8</v>
      </c>
    </row>
    <row r="580" spans="1:5" x14ac:dyDescent="0.25">
      <c r="A580" s="1" t="str">
        <f t="shared" si="9"/>
        <v>TN Connecticut General Life Insurance Company</v>
      </c>
      <c r="B580" s="1" t="s">
        <v>304</v>
      </c>
      <c r="C580" s="1" t="s">
        <v>784</v>
      </c>
      <c r="D580" s="1" t="s">
        <v>9</v>
      </c>
      <c r="E580" s="1" t="s">
        <v>10</v>
      </c>
    </row>
    <row r="581" spans="1:5" x14ac:dyDescent="0.25">
      <c r="A581" s="1" t="str">
        <f t="shared" si="9"/>
        <v>TN Coventry Health &amp; Life Insuance Company</v>
      </c>
      <c r="B581" s="1" t="s">
        <v>304</v>
      </c>
      <c r="C581" s="1" t="s">
        <v>784</v>
      </c>
      <c r="D581" s="1" t="s">
        <v>35</v>
      </c>
      <c r="E581" s="1" t="s">
        <v>36</v>
      </c>
    </row>
    <row r="582" spans="1:5" x14ac:dyDescent="0.25">
      <c r="A582" s="1" t="str">
        <f t="shared" si="9"/>
        <v>TN HealthSpring of TN, Inc</v>
      </c>
      <c r="B582" s="1" t="s">
        <v>304</v>
      </c>
      <c r="C582" s="1" t="s">
        <v>784</v>
      </c>
      <c r="D582" s="1" t="s">
        <v>111</v>
      </c>
      <c r="E582" s="1" t="s">
        <v>12</v>
      </c>
    </row>
    <row r="583" spans="1:5" x14ac:dyDescent="0.25">
      <c r="A583" s="1" t="str">
        <f t="shared" si="9"/>
        <v>TN Humana Insurance Company, Inc.</v>
      </c>
      <c r="B583" s="1" t="s">
        <v>304</v>
      </c>
      <c r="C583" s="1" t="s">
        <v>784</v>
      </c>
      <c r="D583" s="1" t="s">
        <v>15</v>
      </c>
      <c r="E583" s="1" t="s">
        <v>14</v>
      </c>
    </row>
    <row r="584" spans="1:5" x14ac:dyDescent="0.25">
      <c r="A584" s="1" t="str">
        <f t="shared" si="9"/>
        <v>TN PacifiCare Life and Health Insurance Co</v>
      </c>
      <c r="B584" s="1" t="s">
        <v>304</v>
      </c>
      <c r="C584" s="1" t="s">
        <v>784</v>
      </c>
      <c r="D584" s="1" t="s">
        <v>66</v>
      </c>
      <c r="E584" s="1" t="s">
        <v>32</v>
      </c>
    </row>
    <row r="585" spans="1:5" x14ac:dyDescent="0.25">
      <c r="A585" s="1" t="str">
        <f t="shared" si="9"/>
        <v>TN UNICARE Life &amp; Health Insurance Company</v>
      </c>
      <c r="B585" s="1" t="s">
        <v>304</v>
      </c>
      <c r="C585" s="1" t="s">
        <v>784</v>
      </c>
      <c r="D585" s="1" t="s">
        <v>16</v>
      </c>
      <c r="E585" s="1" t="s">
        <v>17</v>
      </c>
    </row>
    <row r="586" spans="1:5" x14ac:dyDescent="0.25">
      <c r="A586" s="1" t="str">
        <f t="shared" si="9"/>
        <v>TN United American Insurance Co</v>
      </c>
      <c r="B586" s="1" t="s">
        <v>304</v>
      </c>
      <c r="C586" s="1" t="s">
        <v>784</v>
      </c>
      <c r="D586" s="1" t="s">
        <v>18</v>
      </c>
      <c r="E586" s="1" t="s">
        <v>19</v>
      </c>
    </row>
    <row r="587" spans="1:5" x14ac:dyDescent="0.25">
      <c r="A587" s="1" t="str">
        <f t="shared" si="9"/>
        <v>TN UnitedHealthcare Insurance Company</v>
      </c>
      <c r="B587" s="1" t="s">
        <v>304</v>
      </c>
      <c r="C587" s="1" t="s">
        <v>784</v>
      </c>
      <c r="D587" s="1" t="s">
        <v>20</v>
      </c>
      <c r="E587" s="1" t="s">
        <v>21</v>
      </c>
    </row>
    <row r="588" spans="1:5" x14ac:dyDescent="0.25">
      <c r="A588" s="1" t="str">
        <f t="shared" si="9"/>
        <v>TN UnitedHealthcare Plan of the River Valley, Inc.</v>
      </c>
      <c r="B588" s="1" t="s">
        <v>304</v>
      </c>
      <c r="C588" s="1" t="s">
        <v>784</v>
      </c>
      <c r="D588" s="1" t="s">
        <v>114</v>
      </c>
      <c r="E588" s="1" t="s">
        <v>21</v>
      </c>
    </row>
    <row r="589" spans="1:5" x14ac:dyDescent="0.25">
      <c r="A589" s="1" t="str">
        <f t="shared" si="9"/>
        <v>TX Aetna Health Inc. (a Texas coporation)</v>
      </c>
      <c r="B589" s="1" t="s">
        <v>307</v>
      </c>
      <c r="C589" s="1" t="s">
        <v>791</v>
      </c>
      <c r="D589" s="1" t="s">
        <v>308</v>
      </c>
      <c r="E589" s="1" t="s">
        <v>5</v>
      </c>
    </row>
    <row r="590" spans="1:5" x14ac:dyDescent="0.25">
      <c r="A590" s="1" t="str">
        <f t="shared" si="9"/>
        <v>TX Aetna Life Insurance Company</v>
      </c>
      <c r="B590" s="1" t="s">
        <v>307</v>
      </c>
      <c r="C590" s="1" t="s">
        <v>791</v>
      </c>
      <c r="D590" s="1" t="s">
        <v>4</v>
      </c>
      <c r="E590" s="1" t="s">
        <v>5</v>
      </c>
    </row>
    <row r="591" spans="1:5" x14ac:dyDescent="0.25">
      <c r="A591" s="1" t="str">
        <f t="shared" si="9"/>
        <v>TX Celtic Insurance Company</v>
      </c>
      <c r="B591" s="1" t="s">
        <v>307</v>
      </c>
      <c r="C591" s="1" t="s">
        <v>791</v>
      </c>
      <c r="D591" s="1" t="s">
        <v>7</v>
      </c>
      <c r="E591" s="1" t="s">
        <v>8</v>
      </c>
    </row>
    <row r="592" spans="1:5" x14ac:dyDescent="0.25">
      <c r="A592" s="1" t="str">
        <f t="shared" si="9"/>
        <v>TX Community First Health Plans, Inc.</v>
      </c>
      <c r="B592" s="1" t="s">
        <v>307</v>
      </c>
      <c r="C592" s="1" t="s">
        <v>791</v>
      </c>
      <c r="D592" s="1" t="s">
        <v>309</v>
      </c>
    </row>
    <row r="593" spans="1:5" x14ac:dyDescent="0.25">
      <c r="A593" s="1" t="str">
        <f t="shared" si="9"/>
        <v>TX Connecticut General Life Insurance Company</v>
      </c>
      <c r="B593" s="1" t="s">
        <v>307</v>
      </c>
      <c r="C593" s="1" t="s">
        <v>791</v>
      </c>
      <c r="D593" s="1" t="s">
        <v>9</v>
      </c>
      <c r="E593" s="1" t="s">
        <v>10</v>
      </c>
    </row>
    <row r="594" spans="1:5" x14ac:dyDescent="0.25">
      <c r="A594" s="1" t="str">
        <f t="shared" si="9"/>
        <v>TX Humana Health Plan of Texas, Inc.</v>
      </c>
      <c r="B594" s="1" t="s">
        <v>307</v>
      </c>
      <c r="C594" s="1" t="s">
        <v>791</v>
      </c>
      <c r="D594" s="1" t="s">
        <v>310</v>
      </c>
      <c r="E594" s="1" t="s">
        <v>14</v>
      </c>
    </row>
    <row r="595" spans="1:5" x14ac:dyDescent="0.25">
      <c r="A595" s="1" t="str">
        <f t="shared" si="9"/>
        <v>TX Humana Insurance Company, Inc.</v>
      </c>
      <c r="B595" s="1" t="s">
        <v>307</v>
      </c>
      <c r="C595" s="1" t="s">
        <v>791</v>
      </c>
      <c r="D595" s="1" t="s">
        <v>15</v>
      </c>
      <c r="E595" s="1" t="s">
        <v>14</v>
      </c>
    </row>
    <row r="596" spans="1:5" x14ac:dyDescent="0.25">
      <c r="A596" s="1" t="str">
        <f t="shared" si="9"/>
        <v>TX PacifiCare Life and Health Insurance Co</v>
      </c>
      <c r="B596" s="1" t="s">
        <v>307</v>
      </c>
      <c r="C596" s="1" t="s">
        <v>791</v>
      </c>
      <c r="D596" s="1" t="s">
        <v>66</v>
      </c>
      <c r="E596" s="1" t="s">
        <v>32</v>
      </c>
    </row>
    <row r="597" spans="1:5" x14ac:dyDescent="0.25">
      <c r="A597" s="1" t="str">
        <f t="shared" si="9"/>
        <v>TX Scott and White Health Plan</v>
      </c>
      <c r="B597" s="1" t="s">
        <v>307</v>
      </c>
      <c r="C597" s="1" t="s">
        <v>791</v>
      </c>
      <c r="D597" s="1" t="s">
        <v>313</v>
      </c>
      <c r="E597" s="1" t="s">
        <v>314</v>
      </c>
    </row>
    <row r="598" spans="1:5" x14ac:dyDescent="0.25">
      <c r="A598" s="1" t="str">
        <f t="shared" si="9"/>
        <v>TX SHA, LLC</v>
      </c>
      <c r="B598" s="1" t="s">
        <v>307</v>
      </c>
      <c r="C598" s="1" t="s">
        <v>791</v>
      </c>
      <c r="D598" s="1" t="s">
        <v>311</v>
      </c>
      <c r="E598" s="1" t="s">
        <v>312</v>
      </c>
    </row>
    <row r="599" spans="1:5" x14ac:dyDescent="0.25">
      <c r="A599" s="1" t="str">
        <f t="shared" si="9"/>
        <v>TX Sierra Health and Life Insurance Company, Inc.</v>
      </c>
      <c r="B599" s="1" t="s">
        <v>307</v>
      </c>
      <c r="C599" s="1" t="s">
        <v>791</v>
      </c>
      <c r="D599" s="1" t="s">
        <v>31</v>
      </c>
      <c r="E599" s="1" t="s">
        <v>32</v>
      </c>
    </row>
    <row r="600" spans="1:5" x14ac:dyDescent="0.25">
      <c r="A600" s="1" t="str">
        <f t="shared" si="9"/>
        <v>TX UNICARE Health Plans of Texas, Inc.</v>
      </c>
      <c r="B600" s="1" t="s">
        <v>307</v>
      </c>
      <c r="C600" s="1" t="s">
        <v>791</v>
      </c>
      <c r="D600" s="1" t="s">
        <v>315</v>
      </c>
      <c r="E600" s="1" t="s">
        <v>41</v>
      </c>
    </row>
    <row r="601" spans="1:5" x14ac:dyDescent="0.25">
      <c r="A601" s="1" t="str">
        <f t="shared" si="9"/>
        <v>TX UNICARE Life &amp; Health Insurance Company</v>
      </c>
      <c r="B601" s="1" t="s">
        <v>307</v>
      </c>
      <c r="C601" s="1" t="s">
        <v>791</v>
      </c>
      <c r="D601" s="1" t="s">
        <v>16</v>
      </c>
      <c r="E601" s="1" t="s">
        <v>17</v>
      </c>
    </row>
    <row r="602" spans="1:5" x14ac:dyDescent="0.25">
      <c r="A602" s="1" t="str">
        <f t="shared" si="9"/>
        <v>TX United American Insurance Co</v>
      </c>
      <c r="B602" s="1" t="s">
        <v>307</v>
      </c>
      <c r="C602" s="1" t="s">
        <v>791</v>
      </c>
      <c r="D602" s="1" t="s">
        <v>18</v>
      </c>
      <c r="E602" s="1" t="s">
        <v>19</v>
      </c>
    </row>
    <row r="603" spans="1:5" x14ac:dyDescent="0.25">
      <c r="A603" s="1" t="str">
        <f t="shared" si="9"/>
        <v>TX UnitedHealthcare Benefits of Texas, Inc.</v>
      </c>
      <c r="B603" s="1" t="s">
        <v>307</v>
      </c>
      <c r="C603" s="1" t="s">
        <v>791</v>
      </c>
      <c r="D603" s="1" t="s">
        <v>316</v>
      </c>
      <c r="E603" s="1" t="s">
        <v>21</v>
      </c>
    </row>
    <row r="604" spans="1:5" x14ac:dyDescent="0.25">
      <c r="A604" s="1" t="str">
        <f t="shared" si="9"/>
        <v>TX UnitedHealthcare Insurance Company</v>
      </c>
      <c r="B604" s="1" t="s">
        <v>307</v>
      </c>
      <c r="C604" s="1" t="s">
        <v>791</v>
      </c>
      <c r="D604" s="1" t="s">
        <v>20</v>
      </c>
      <c r="E604" s="1" t="s">
        <v>21</v>
      </c>
    </row>
    <row r="605" spans="1:5" x14ac:dyDescent="0.25">
      <c r="A605" s="1" t="str">
        <f t="shared" si="9"/>
        <v>UT Aetna Life Insurance Company</v>
      </c>
      <c r="B605" s="1" t="s">
        <v>317</v>
      </c>
      <c r="C605" s="1" t="s">
        <v>813</v>
      </c>
      <c r="D605" s="1" t="s">
        <v>4</v>
      </c>
      <c r="E605" s="1" t="s">
        <v>5</v>
      </c>
    </row>
    <row r="606" spans="1:5" x14ac:dyDescent="0.25">
      <c r="A606" s="1" t="str">
        <f t="shared" si="9"/>
        <v>UT Altius Health Plans, Inc.</v>
      </c>
      <c r="B606" s="1" t="s">
        <v>317</v>
      </c>
      <c r="C606" s="1" t="s">
        <v>813</v>
      </c>
      <c r="D606" s="1" t="s">
        <v>318</v>
      </c>
      <c r="E606" s="1" t="s">
        <v>36</v>
      </c>
    </row>
    <row r="607" spans="1:5" x14ac:dyDescent="0.25">
      <c r="A607" s="1" t="str">
        <f t="shared" si="9"/>
        <v>UT Celtic Insurance Company</v>
      </c>
      <c r="B607" s="1" t="s">
        <v>317</v>
      </c>
      <c r="C607" s="1" t="s">
        <v>813</v>
      </c>
      <c r="D607" s="1" t="s">
        <v>7</v>
      </c>
      <c r="E607" s="1" t="s">
        <v>8</v>
      </c>
    </row>
    <row r="608" spans="1:5" x14ac:dyDescent="0.25">
      <c r="A608" s="1" t="str">
        <f t="shared" si="9"/>
        <v>UT Connecticut General Life Insurance Company</v>
      </c>
      <c r="B608" s="1" t="s">
        <v>317</v>
      </c>
      <c r="C608" s="1" t="s">
        <v>813</v>
      </c>
      <c r="D608" s="1" t="s">
        <v>9</v>
      </c>
      <c r="E608" s="1" t="s">
        <v>10</v>
      </c>
    </row>
    <row r="609" spans="1:5" x14ac:dyDescent="0.25">
      <c r="A609" s="1" t="str">
        <f t="shared" si="9"/>
        <v>UT Educators Mutual Insurance Association</v>
      </c>
      <c r="B609" s="1" t="s">
        <v>317</v>
      </c>
      <c r="C609" s="1" t="s">
        <v>813</v>
      </c>
      <c r="D609" s="1" t="s">
        <v>319</v>
      </c>
    </row>
    <row r="610" spans="1:5" x14ac:dyDescent="0.25">
      <c r="A610" s="1" t="str">
        <f t="shared" si="9"/>
        <v>UT Humana Insurance Company, Inc.</v>
      </c>
      <c r="B610" s="1" t="s">
        <v>317</v>
      </c>
      <c r="C610" s="1" t="s">
        <v>813</v>
      </c>
      <c r="D610" s="1" t="s">
        <v>15</v>
      </c>
      <c r="E610" s="1" t="s">
        <v>14</v>
      </c>
    </row>
    <row r="611" spans="1:5" x14ac:dyDescent="0.25">
      <c r="A611" s="1" t="str">
        <f t="shared" si="9"/>
        <v>UT PacifiCare Life and Health Insurance Co</v>
      </c>
      <c r="B611" s="1" t="s">
        <v>317</v>
      </c>
      <c r="C611" s="1" t="s">
        <v>813</v>
      </c>
      <c r="D611" s="1" t="s">
        <v>66</v>
      </c>
      <c r="E611" s="1" t="s">
        <v>32</v>
      </c>
    </row>
    <row r="612" spans="1:5" x14ac:dyDescent="0.25">
      <c r="A612" s="1" t="str">
        <f t="shared" si="9"/>
        <v>UT Regence BlueCross BlueShield of Utah</v>
      </c>
      <c r="B612" s="1" t="s">
        <v>317</v>
      </c>
      <c r="C612" s="1" t="s">
        <v>813</v>
      </c>
      <c r="D612" s="1" t="s">
        <v>320</v>
      </c>
      <c r="E612" s="1" t="s">
        <v>105</v>
      </c>
    </row>
    <row r="613" spans="1:5" x14ac:dyDescent="0.25">
      <c r="A613" s="1" t="str">
        <f t="shared" si="9"/>
        <v>UT SelectHealth, Inc.</v>
      </c>
      <c r="B613" s="1" t="s">
        <v>317</v>
      </c>
      <c r="C613" s="1" t="s">
        <v>813</v>
      </c>
      <c r="D613" s="1" t="s">
        <v>321</v>
      </c>
      <c r="E613" s="1" t="s">
        <v>322</v>
      </c>
    </row>
    <row r="614" spans="1:5" x14ac:dyDescent="0.25">
      <c r="A614" s="1" t="str">
        <f t="shared" si="9"/>
        <v>UT Sierra Health and Life Insurance Company, Inc.</v>
      </c>
      <c r="B614" s="1" t="s">
        <v>317</v>
      </c>
      <c r="C614" s="1" t="s">
        <v>813</v>
      </c>
      <c r="D614" s="1" t="s">
        <v>31</v>
      </c>
      <c r="E614" s="1" t="s">
        <v>32</v>
      </c>
    </row>
    <row r="615" spans="1:5" x14ac:dyDescent="0.25">
      <c r="A615" s="1" t="str">
        <f t="shared" si="9"/>
        <v>UT UNICARE Life &amp; Health Insurance Company</v>
      </c>
      <c r="B615" s="1" t="s">
        <v>317</v>
      </c>
      <c r="C615" s="1" t="s">
        <v>813</v>
      </c>
      <c r="D615" s="1" t="s">
        <v>16</v>
      </c>
      <c r="E615" s="1" t="s">
        <v>17</v>
      </c>
    </row>
    <row r="616" spans="1:5" x14ac:dyDescent="0.25">
      <c r="A616" s="1" t="str">
        <f t="shared" si="9"/>
        <v>UT United American Insurance Co</v>
      </c>
      <c r="B616" s="1" t="s">
        <v>317</v>
      </c>
      <c r="C616" s="1" t="s">
        <v>813</v>
      </c>
      <c r="D616" s="1" t="s">
        <v>18</v>
      </c>
      <c r="E616" s="1" t="s">
        <v>19</v>
      </c>
    </row>
    <row r="617" spans="1:5" x14ac:dyDescent="0.25">
      <c r="A617" s="1" t="str">
        <f t="shared" si="9"/>
        <v>UT UnitedHealthcare Insurance Company</v>
      </c>
      <c r="B617" s="1" t="s">
        <v>317</v>
      </c>
      <c r="C617" s="1" t="s">
        <v>813</v>
      </c>
      <c r="D617" s="1" t="s">
        <v>20</v>
      </c>
      <c r="E617" s="1" t="s">
        <v>21</v>
      </c>
    </row>
    <row r="618" spans="1:5" x14ac:dyDescent="0.25">
      <c r="A618" s="1" t="str">
        <f t="shared" si="9"/>
        <v>UT UnitedHealthcare of Utah, Inc.</v>
      </c>
      <c r="B618" s="1" t="s">
        <v>317</v>
      </c>
      <c r="C618" s="1" t="s">
        <v>813</v>
      </c>
      <c r="D618" s="1" t="s">
        <v>323</v>
      </c>
      <c r="E618" s="1" t="s">
        <v>32</v>
      </c>
    </row>
    <row r="619" spans="1:5" x14ac:dyDescent="0.25">
      <c r="A619" s="1" t="str">
        <f t="shared" si="9"/>
        <v>VT Aetna Life Insurance Company</v>
      </c>
      <c r="B619" s="1" t="s">
        <v>324</v>
      </c>
      <c r="C619" s="1" t="s">
        <v>823</v>
      </c>
      <c r="D619" s="1" t="s">
        <v>4</v>
      </c>
      <c r="E619" s="1" t="s">
        <v>5</v>
      </c>
    </row>
    <row r="620" spans="1:5" x14ac:dyDescent="0.25">
      <c r="A620" s="1" t="str">
        <f t="shared" si="9"/>
        <v>VT Celtic Insurance Company</v>
      </c>
      <c r="B620" s="1" t="s">
        <v>324</v>
      </c>
      <c r="C620" s="1" t="s">
        <v>823</v>
      </c>
      <c r="D620" s="1" t="s">
        <v>7</v>
      </c>
      <c r="E620" s="1" t="s">
        <v>8</v>
      </c>
    </row>
    <row r="621" spans="1:5" x14ac:dyDescent="0.25">
      <c r="A621" s="1" t="str">
        <f t="shared" si="9"/>
        <v>VT Connecticut General Life Insurance Company</v>
      </c>
      <c r="B621" s="1" t="s">
        <v>324</v>
      </c>
      <c r="C621" s="1" t="s">
        <v>823</v>
      </c>
      <c r="D621" s="1" t="s">
        <v>9</v>
      </c>
      <c r="E621" s="1" t="s">
        <v>10</v>
      </c>
    </row>
    <row r="622" spans="1:5" x14ac:dyDescent="0.25">
      <c r="A622" s="1" t="str">
        <f t="shared" si="9"/>
        <v>VT Humana Insurance Company, Inc.</v>
      </c>
      <c r="B622" s="1" t="s">
        <v>324</v>
      </c>
      <c r="C622" s="1" t="s">
        <v>823</v>
      </c>
      <c r="D622" s="1" t="s">
        <v>15</v>
      </c>
      <c r="E622" s="1" t="s">
        <v>14</v>
      </c>
    </row>
    <row r="623" spans="1:5" x14ac:dyDescent="0.25">
      <c r="A623" s="1" t="str">
        <f t="shared" si="9"/>
        <v>VT PacifiCare Life and Health Insurance Co</v>
      </c>
      <c r="B623" s="1" t="s">
        <v>324</v>
      </c>
      <c r="C623" s="1" t="s">
        <v>823</v>
      </c>
      <c r="D623" s="1" t="s">
        <v>66</v>
      </c>
      <c r="E623" s="1" t="s">
        <v>32</v>
      </c>
    </row>
    <row r="624" spans="1:5" x14ac:dyDescent="0.25">
      <c r="A624" s="1" t="str">
        <f t="shared" si="9"/>
        <v>VT Tufts Insurance Company</v>
      </c>
      <c r="B624" s="1" t="s">
        <v>324</v>
      </c>
      <c r="C624" s="1" t="s">
        <v>823</v>
      </c>
      <c r="D624" s="1" t="s">
        <v>67</v>
      </c>
      <c r="E624" s="1" t="s">
        <v>68</v>
      </c>
    </row>
    <row r="625" spans="1:5" x14ac:dyDescent="0.25">
      <c r="A625" s="1" t="str">
        <f t="shared" si="9"/>
        <v>VT UNICARE Life &amp; Health Insurance Company</v>
      </c>
      <c r="B625" s="1" t="s">
        <v>324</v>
      </c>
      <c r="C625" s="1" t="s">
        <v>823</v>
      </c>
      <c r="D625" s="1" t="s">
        <v>16</v>
      </c>
      <c r="E625" s="1" t="s">
        <v>17</v>
      </c>
    </row>
    <row r="626" spans="1:5" x14ac:dyDescent="0.25">
      <c r="A626" s="1" t="str">
        <f t="shared" si="9"/>
        <v>VT United American Insurance Co</v>
      </c>
      <c r="B626" s="1" t="s">
        <v>324</v>
      </c>
      <c r="C626" s="1" t="s">
        <v>823</v>
      </c>
      <c r="D626" s="1" t="s">
        <v>18</v>
      </c>
      <c r="E626" s="1" t="s">
        <v>19</v>
      </c>
    </row>
    <row r="627" spans="1:5" x14ac:dyDescent="0.25">
      <c r="A627" s="1" t="str">
        <f t="shared" si="9"/>
        <v>VT UnitedHealthcare Insurance Company</v>
      </c>
      <c r="B627" s="1" t="s">
        <v>324</v>
      </c>
      <c r="C627" s="1" t="s">
        <v>823</v>
      </c>
      <c r="D627" s="1" t="s">
        <v>20</v>
      </c>
      <c r="E627" s="1" t="s">
        <v>21</v>
      </c>
    </row>
    <row r="628" spans="1:5" x14ac:dyDescent="0.25">
      <c r="A628" s="1" t="str">
        <f t="shared" si="9"/>
        <v>VA Aetna Health Inc. (a Pennsylvania corporation)</v>
      </c>
      <c r="B628" s="1" t="s">
        <v>325</v>
      </c>
      <c r="C628" s="1" t="s">
        <v>819</v>
      </c>
      <c r="D628" s="1" t="s">
        <v>26</v>
      </c>
      <c r="E628" s="1" t="s">
        <v>5</v>
      </c>
    </row>
    <row r="629" spans="1:5" x14ac:dyDescent="0.25">
      <c r="A629" s="1" t="str">
        <f t="shared" si="9"/>
        <v>VA Aetna Life Insurance Company</v>
      </c>
      <c r="B629" s="1" t="s">
        <v>325</v>
      </c>
      <c r="C629" s="1" t="s">
        <v>819</v>
      </c>
      <c r="D629" s="1" t="s">
        <v>4</v>
      </c>
      <c r="E629" s="1" t="s">
        <v>5</v>
      </c>
    </row>
    <row r="630" spans="1:5" x14ac:dyDescent="0.25">
      <c r="A630" s="1" t="str">
        <f t="shared" si="9"/>
        <v>VA Anthem Health Plans of Virginia, Inc.</v>
      </c>
      <c r="B630" s="1" t="s">
        <v>325</v>
      </c>
      <c r="C630" s="1" t="s">
        <v>819</v>
      </c>
      <c r="D630" s="1" t="s">
        <v>326</v>
      </c>
      <c r="E630" s="1" t="s">
        <v>41</v>
      </c>
    </row>
    <row r="631" spans="1:5" x14ac:dyDescent="0.25">
      <c r="A631" s="1" t="str">
        <f t="shared" si="9"/>
        <v>VA Celtic Insurance Company</v>
      </c>
      <c r="B631" s="1" t="s">
        <v>325</v>
      </c>
      <c r="C631" s="1" t="s">
        <v>819</v>
      </c>
      <c r="D631" s="1" t="s">
        <v>7</v>
      </c>
      <c r="E631" s="1" t="s">
        <v>8</v>
      </c>
    </row>
    <row r="632" spans="1:5" x14ac:dyDescent="0.25">
      <c r="A632" s="1" t="str">
        <f t="shared" si="9"/>
        <v>VA Connecticut General Life Insurance Company</v>
      </c>
      <c r="B632" s="1" t="s">
        <v>325</v>
      </c>
      <c r="C632" s="1" t="s">
        <v>819</v>
      </c>
      <c r="D632" s="1" t="s">
        <v>9</v>
      </c>
      <c r="E632" s="1" t="s">
        <v>10</v>
      </c>
    </row>
    <row r="633" spans="1:5" x14ac:dyDescent="0.25">
      <c r="A633" s="1" t="str">
        <f t="shared" si="9"/>
        <v>VA Coventry Health &amp; Life Insuance Company</v>
      </c>
      <c r="B633" s="1" t="s">
        <v>325</v>
      </c>
      <c r="C633" s="1" t="s">
        <v>819</v>
      </c>
      <c r="D633" s="1" t="s">
        <v>35</v>
      </c>
      <c r="E633" s="1" t="s">
        <v>36</v>
      </c>
    </row>
    <row r="634" spans="1:5" x14ac:dyDescent="0.25">
      <c r="A634" s="1" t="str">
        <f t="shared" si="9"/>
        <v>VA HealthKeepers, Inc.</v>
      </c>
      <c r="B634" s="1" t="s">
        <v>325</v>
      </c>
      <c r="C634" s="1" t="s">
        <v>819</v>
      </c>
      <c r="D634" s="1" t="s">
        <v>327</v>
      </c>
      <c r="E634" s="1" t="s">
        <v>41</v>
      </c>
    </row>
    <row r="635" spans="1:5" x14ac:dyDescent="0.25">
      <c r="A635" s="1" t="str">
        <f t="shared" si="9"/>
        <v>VA Humana Health Plan, Inc.</v>
      </c>
      <c r="B635" s="1" t="s">
        <v>325</v>
      </c>
      <c r="C635" s="1" t="s">
        <v>819</v>
      </c>
      <c r="D635" s="1" t="s">
        <v>13</v>
      </c>
      <c r="E635" s="1" t="s">
        <v>14</v>
      </c>
    </row>
    <row r="636" spans="1:5" x14ac:dyDescent="0.25">
      <c r="A636" s="1" t="str">
        <f t="shared" si="9"/>
        <v>VA Humana Insurance Company, Inc.</v>
      </c>
      <c r="B636" s="1" t="s">
        <v>325</v>
      </c>
      <c r="C636" s="1" t="s">
        <v>819</v>
      </c>
      <c r="D636" s="1" t="s">
        <v>15</v>
      </c>
      <c r="E636" s="1" t="s">
        <v>14</v>
      </c>
    </row>
    <row r="637" spans="1:5" x14ac:dyDescent="0.25">
      <c r="A637" s="1" t="str">
        <f t="shared" si="9"/>
        <v>VA Kaiser Foundation Health Plan of Mid-Atlantic States, Inc.</v>
      </c>
      <c r="B637" s="1" t="s">
        <v>325</v>
      </c>
      <c r="C637" s="1" t="s">
        <v>819</v>
      </c>
      <c r="D637" s="1" t="s">
        <v>71</v>
      </c>
      <c r="E637" s="1" t="s">
        <v>56</v>
      </c>
    </row>
    <row r="638" spans="1:5" x14ac:dyDescent="0.25">
      <c r="A638" s="1" t="str">
        <f t="shared" si="9"/>
        <v>VA Optima Health Insurance Company</v>
      </c>
      <c r="B638" s="1" t="s">
        <v>325</v>
      </c>
      <c r="C638" s="1" t="s">
        <v>819</v>
      </c>
      <c r="D638" s="1" t="s">
        <v>328</v>
      </c>
      <c r="E638" s="1" t="s">
        <v>329</v>
      </c>
    </row>
    <row r="639" spans="1:5" x14ac:dyDescent="0.25">
      <c r="A639" s="1" t="str">
        <f t="shared" si="9"/>
        <v>VA Optima Health Plan</v>
      </c>
      <c r="B639" s="1" t="s">
        <v>325</v>
      </c>
      <c r="C639" s="1" t="s">
        <v>819</v>
      </c>
      <c r="D639" s="1" t="s">
        <v>330</v>
      </c>
      <c r="E639" s="1" t="s">
        <v>329</v>
      </c>
    </row>
    <row r="640" spans="1:5" x14ac:dyDescent="0.25">
      <c r="A640" s="1" t="str">
        <f t="shared" si="9"/>
        <v>VA PacifiCare Life and Health Insurance Co</v>
      </c>
      <c r="B640" s="1" t="s">
        <v>325</v>
      </c>
      <c r="C640" s="1" t="s">
        <v>819</v>
      </c>
      <c r="D640" s="1" t="s">
        <v>66</v>
      </c>
      <c r="E640" s="1" t="s">
        <v>32</v>
      </c>
    </row>
    <row r="641" spans="1:5" x14ac:dyDescent="0.25">
      <c r="A641" s="1" t="str">
        <f t="shared" si="9"/>
        <v>VA Piedmont Community HealthCare, Inc.</v>
      </c>
      <c r="B641" s="1" t="s">
        <v>325</v>
      </c>
      <c r="C641" s="1" t="s">
        <v>819</v>
      </c>
      <c r="D641" s="1" t="s">
        <v>331</v>
      </c>
    </row>
    <row r="642" spans="1:5" x14ac:dyDescent="0.25">
      <c r="A642" s="1" t="str">
        <f t="shared" si="9"/>
        <v>VA Southern Health Services, Inc.</v>
      </c>
      <c r="B642" s="1" t="s">
        <v>325</v>
      </c>
      <c r="C642" s="1" t="s">
        <v>819</v>
      </c>
      <c r="D642" s="1" t="s">
        <v>332</v>
      </c>
      <c r="E642" s="1" t="s">
        <v>333</v>
      </c>
    </row>
    <row r="643" spans="1:5" x14ac:dyDescent="0.25">
      <c r="A643" s="1" t="str">
        <f t="shared" ref="A643:A706" si="10">C643&amp;" "&amp;D643</f>
        <v>VA UNICARE Life &amp; Health Insurance Company</v>
      </c>
      <c r="B643" s="1" t="s">
        <v>325</v>
      </c>
      <c r="C643" s="1" t="s">
        <v>819</v>
      </c>
      <c r="D643" s="1" t="s">
        <v>16</v>
      </c>
      <c r="E643" s="1" t="s">
        <v>17</v>
      </c>
    </row>
    <row r="644" spans="1:5" x14ac:dyDescent="0.25">
      <c r="A644" s="1" t="str">
        <f t="shared" si="10"/>
        <v>VA United American Insurance Co</v>
      </c>
      <c r="B644" s="1" t="s">
        <v>325</v>
      </c>
      <c r="C644" s="1" t="s">
        <v>819</v>
      </c>
      <c r="D644" s="1" t="s">
        <v>18</v>
      </c>
      <c r="E644" s="1" t="s">
        <v>19</v>
      </c>
    </row>
    <row r="645" spans="1:5" x14ac:dyDescent="0.25">
      <c r="A645" s="1" t="str">
        <f t="shared" si="10"/>
        <v>VA UnitedHealthcare Insurance Company</v>
      </c>
      <c r="B645" s="1" t="s">
        <v>325</v>
      </c>
      <c r="C645" s="1" t="s">
        <v>819</v>
      </c>
      <c r="D645" s="1" t="s">
        <v>20</v>
      </c>
      <c r="E645" s="1" t="s">
        <v>21</v>
      </c>
    </row>
    <row r="646" spans="1:5" x14ac:dyDescent="0.25">
      <c r="A646" s="1" t="str">
        <f t="shared" si="10"/>
        <v>VA UnitedHealthcare Plan of the River Valley, Inc.</v>
      </c>
      <c r="B646" s="1" t="s">
        <v>325</v>
      </c>
      <c r="C646" s="1" t="s">
        <v>819</v>
      </c>
      <c r="D646" s="1" t="s">
        <v>114</v>
      </c>
      <c r="E646" s="1" t="s">
        <v>21</v>
      </c>
    </row>
    <row r="647" spans="1:5" x14ac:dyDescent="0.25">
      <c r="A647" s="1" t="str">
        <f t="shared" si="10"/>
        <v>WA Aetna Life Insurance Company</v>
      </c>
      <c r="B647" s="1" t="s">
        <v>334</v>
      </c>
      <c r="C647" s="1" t="s">
        <v>824</v>
      </c>
      <c r="D647" s="1" t="s">
        <v>4</v>
      </c>
      <c r="E647" s="1" t="s">
        <v>5</v>
      </c>
    </row>
    <row r="648" spans="1:5" x14ac:dyDescent="0.25">
      <c r="A648" s="1" t="str">
        <f t="shared" si="10"/>
        <v>WA Asuris Northwest Health</v>
      </c>
      <c r="B648" s="1" t="s">
        <v>334</v>
      </c>
      <c r="C648" s="1" t="s">
        <v>824</v>
      </c>
      <c r="D648" s="1" t="s">
        <v>255</v>
      </c>
      <c r="E648" s="1" t="s">
        <v>105</v>
      </c>
    </row>
    <row r="649" spans="1:5" x14ac:dyDescent="0.25">
      <c r="A649" s="1" t="str">
        <f t="shared" si="10"/>
        <v>WA Connecticut General Life Insurance Company</v>
      </c>
      <c r="B649" s="1" t="s">
        <v>334</v>
      </c>
      <c r="C649" s="1" t="s">
        <v>824</v>
      </c>
      <c r="D649" s="1" t="s">
        <v>9</v>
      </c>
      <c r="E649" s="1" t="s">
        <v>10</v>
      </c>
    </row>
    <row r="650" spans="1:5" x14ac:dyDescent="0.25">
      <c r="A650" s="1" t="str">
        <f t="shared" si="10"/>
        <v>WA Group Health Cooperative</v>
      </c>
      <c r="B650" s="1" t="s">
        <v>334</v>
      </c>
      <c r="C650" s="1" t="s">
        <v>824</v>
      </c>
      <c r="D650" s="1" t="s">
        <v>335</v>
      </c>
      <c r="E650" s="1" t="s">
        <v>335</v>
      </c>
    </row>
    <row r="651" spans="1:5" x14ac:dyDescent="0.25">
      <c r="A651" s="1" t="str">
        <f t="shared" si="10"/>
        <v>WA Group Health Options, Inc</v>
      </c>
      <c r="B651" s="1" t="s">
        <v>334</v>
      </c>
      <c r="C651" s="1" t="s">
        <v>824</v>
      </c>
      <c r="D651" s="1" t="s">
        <v>336</v>
      </c>
      <c r="E651" s="1" t="s">
        <v>337</v>
      </c>
    </row>
    <row r="652" spans="1:5" x14ac:dyDescent="0.25">
      <c r="A652" s="1" t="str">
        <f t="shared" si="10"/>
        <v>WA Health Net Life Insurance Company</v>
      </c>
      <c r="B652" s="1" t="s">
        <v>334</v>
      </c>
      <c r="C652" s="1" t="s">
        <v>824</v>
      </c>
      <c r="D652" s="1" t="s">
        <v>28</v>
      </c>
      <c r="E652" s="1" t="s">
        <v>29</v>
      </c>
    </row>
    <row r="653" spans="1:5" x14ac:dyDescent="0.25">
      <c r="A653" s="1" t="str">
        <f t="shared" si="10"/>
        <v>WA Humana Insurance Company, Inc.</v>
      </c>
      <c r="B653" s="1" t="s">
        <v>334</v>
      </c>
      <c r="C653" s="1" t="s">
        <v>824</v>
      </c>
      <c r="D653" s="1" t="s">
        <v>15</v>
      </c>
      <c r="E653" s="1" t="s">
        <v>14</v>
      </c>
    </row>
    <row r="654" spans="1:5" x14ac:dyDescent="0.25">
      <c r="A654" s="1" t="str">
        <f t="shared" si="10"/>
        <v>WA Kaiser Foundation Health Plan of the Northwest</v>
      </c>
      <c r="B654" s="1" t="s">
        <v>334</v>
      </c>
      <c r="C654" s="1" t="s">
        <v>824</v>
      </c>
      <c r="D654" s="1" t="s">
        <v>257</v>
      </c>
      <c r="E654" s="1" t="s">
        <v>56</v>
      </c>
    </row>
    <row r="655" spans="1:5" x14ac:dyDescent="0.25">
      <c r="A655" s="1" t="str">
        <f t="shared" si="10"/>
        <v>WA PacifiCare Life and Health Insurance Co</v>
      </c>
      <c r="B655" s="1" t="s">
        <v>334</v>
      </c>
      <c r="C655" s="1" t="s">
        <v>824</v>
      </c>
      <c r="D655" s="1" t="s">
        <v>66</v>
      </c>
      <c r="E655" s="1" t="s">
        <v>32</v>
      </c>
    </row>
    <row r="656" spans="1:5" x14ac:dyDescent="0.25">
      <c r="A656" s="1" t="str">
        <f t="shared" si="10"/>
        <v>WA Providence Health Plan</v>
      </c>
      <c r="B656" s="1" t="s">
        <v>334</v>
      </c>
      <c r="C656" s="1" t="s">
        <v>824</v>
      </c>
      <c r="D656" s="1" t="s">
        <v>263</v>
      </c>
    </row>
    <row r="657" spans="1:5" x14ac:dyDescent="0.25">
      <c r="A657" s="1" t="str">
        <f t="shared" si="10"/>
        <v>WA Regence BlueCross BlueShield of Oregon</v>
      </c>
      <c r="B657" s="1" t="s">
        <v>334</v>
      </c>
      <c r="C657" s="1" t="s">
        <v>824</v>
      </c>
      <c r="D657" s="1" t="s">
        <v>264</v>
      </c>
      <c r="E657" s="1" t="s">
        <v>105</v>
      </c>
    </row>
    <row r="658" spans="1:5" x14ac:dyDescent="0.25">
      <c r="A658" s="1" t="str">
        <f t="shared" si="10"/>
        <v>WA Regence BlueShield</v>
      </c>
      <c r="B658" s="1" t="s">
        <v>334</v>
      </c>
      <c r="C658" s="1" t="s">
        <v>824</v>
      </c>
      <c r="D658" s="1" t="s">
        <v>338</v>
      </c>
      <c r="E658" s="1" t="s">
        <v>105</v>
      </c>
    </row>
    <row r="659" spans="1:5" x14ac:dyDescent="0.25">
      <c r="A659" s="1" t="str">
        <f t="shared" si="10"/>
        <v>WA Regence BlueShield of Idaho, Inc.</v>
      </c>
      <c r="B659" s="1" t="s">
        <v>334</v>
      </c>
      <c r="C659" s="1" t="s">
        <v>824</v>
      </c>
      <c r="D659" s="1" t="s">
        <v>104</v>
      </c>
      <c r="E659" s="1" t="s">
        <v>105</v>
      </c>
    </row>
    <row r="660" spans="1:5" x14ac:dyDescent="0.25">
      <c r="A660" s="1" t="str">
        <f t="shared" si="10"/>
        <v>WA Sierra Health and Life Insurance Company, Inc.</v>
      </c>
      <c r="B660" s="1" t="s">
        <v>334</v>
      </c>
      <c r="C660" s="1" t="s">
        <v>824</v>
      </c>
      <c r="D660" s="1" t="s">
        <v>31</v>
      </c>
      <c r="E660" s="1" t="s">
        <v>32</v>
      </c>
    </row>
    <row r="661" spans="1:5" x14ac:dyDescent="0.25">
      <c r="A661" s="1" t="str">
        <f t="shared" si="10"/>
        <v>WA UNICARE Life &amp; Health Insurance Company</v>
      </c>
      <c r="B661" s="1" t="s">
        <v>334</v>
      </c>
      <c r="C661" s="1" t="s">
        <v>824</v>
      </c>
      <c r="D661" s="1" t="s">
        <v>16</v>
      </c>
      <c r="E661" s="1" t="s">
        <v>17</v>
      </c>
    </row>
    <row r="662" spans="1:5" x14ac:dyDescent="0.25">
      <c r="A662" s="1" t="str">
        <f t="shared" si="10"/>
        <v>WA United American Insurance Co</v>
      </c>
      <c r="B662" s="1" t="s">
        <v>334</v>
      </c>
      <c r="C662" s="1" t="s">
        <v>824</v>
      </c>
      <c r="D662" s="1" t="s">
        <v>18</v>
      </c>
      <c r="E662" s="1" t="s">
        <v>19</v>
      </c>
    </row>
    <row r="663" spans="1:5" x14ac:dyDescent="0.25">
      <c r="A663" s="1" t="str">
        <f t="shared" si="10"/>
        <v>WA UnitedHealthcare Insurance Company</v>
      </c>
      <c r="B663" s="1" t="s">
        <v>334</v>
      </c>
      <c r="C663" s="1" t="s">
        <v>824</v>
      </c>
      <c r="D663" s="1" t="s">
        <v>20</v>
      </c>
      <c r="E663" s="1" t="s">
        <v>21</v>
      </c>
    </row>
    <row r="664" spans="1:5" x14ac:dyDescent="0.25">
      <c r="A664" s="1" t="str">
        <f t="shared" si="10"/>
        <v>WA UnitedHealthcare of Washington, Inc.</v>
      </c>
      <c r="B664" s="1" t="s">
        <v>334</v>
      </c>
      <c r="C664" s="1" t="s">
        <v>824</v>
      </c>
      <c r="D664" s="1" t="s">
        <v>339</v>
      </c>
      <c r="E664" s="1" t="s">
        <v>21</v>
      </c>
    </row>
    <row r="665" spans="1:5" x14ac:dyDescent="0.25">
      <c r="A665" s="1" t="str">
        <f t="shared" si="10"/>
        <v>WV Aetna Life Insurance Company</v>
      </c>
      <c r="B665" s="1" t="s">
        <v>340</v>
      </c>
      <c r="C665" s="1" t="s">
        <v>839</v>
      </c>
      <c r="D665" s="1" t="s">
        <v>4</v>
      </c>
      <c r="E665" s="1" t="s">
        <v>5</v>
      </c>
    </row>
    <row r="666" spans="1:5" x14ac:dyDescent="0.25">
      <c r="A666" s="1" t="str">
        <f t="shared" si="10"/>
        <v>WV Carelink Health Plans, Inc.</v>
      </c>
      <c r="B666" s="1" t="s">
        <v>340</v>
      </c>
      <c r="C666" s="1" t="s">
        <v>839</v>
      </c>
      <c r="D666" s="1" t="s">
        <v>341</v>
      </c>
      <c r="E666" s="1" t="s">
        <v>333</v>
      </c>
    </row>
    <row r="667" spans="1:5" x14ac:dyDescent="0.25">
      <c r="A667" s="1" t="str">
        <f t="shared" si="10"/>
        <v>WV Celtic Insurance Company</v>
      </c>
      <c r="B667" s="1" t="s">
        <v>340</v>
      </c>
      <c r="C667" s="1" t="s">
        <v>839</v>
      </c>
      <c r="D667" s="1" t="s">
        <v>7</v>
      </c>
      <c r="E667" s="1" t="s">
        <v>8</v>
      </c>
    </row>
    <row r="668" spans="1:5" x14ac:dyDescent="0.25">
      <c r="A668" s="1" t="str">
        <f t="shared" si="10"/>
        <v>WV Connecticut General Life Insurance Company</v>
      </c>
      <c r="B668" s="1" t="s">
        <v>340</v>
      </c>
      <c r="C668" s="1" t="s">
        <v>839</v>
      </c>
      <c r="D668" s="1" t="s">
        <v>9</v>
      </c>
      <c r="E668" s="1" t="s">
        <v>10</v>
      </c>
    </row>
    <row r="669" spans="1:5" x14ac:dyDescent="0.25">
      <c r="A669" s="1" t="str">
        <f t="shared" si="10"/>
        <v>WV HM Health Insurance Company</v>
      </c>
      <c r="B669" s="1" t="s">
        <v>340</v>
      </c>
      <c r="C669" s="1" t="s">
        <v>839</v>
      </c>
      <c r="D669" s="1" t="s">
        <v>342</v>
      </c>
      <c r="E669" s="1" t="s">
        <v>278</v>
      </c>
    </row>
    <row r="670" spans="1:5" x14ac:dyDescent="0.25">
      <c r="A670" s="1" t="str">
        <f t="shared" si="10"/>
        <v>WV Humana Insurance Company, Inc.</v>
      </c>
      <c r="B670" s="1" t="s">
        <v>340</v>
      </c>
      <c r="C670" s="1" t="s">
        <v>839</v>
      </c>
      <c r="D670" s="1" t="s">
        <v>15</v>
      </c>
      <c r="E670" s="1" t="s">
        <v>14</v>
      </c>
    </row>
    <row r="671" spans="1:5" x14ac:dyDescent="0.25">
      <c r="A671" s="1" t="str">
        <f t="shared" si="10"/>
        <v>WV UNICARE Life &amp; Health Insurance Company</v>
      </c>
      <c r="B671" s="1" t="s">
        <v>340</v>
      </c>
      <c r="C671" s="1" t="s">
        <v>839</v>
      </c>
      <c r="D671" s="1" t="s">
        <v>16</v>
      </c>
      <c r="E671" s="1" t="s">
        <v>17</v>
      </c>
    </row>
    <row r="672" spans="1:5" x14ac:dyDescent="0.25">
      <c r="A672" s="1" t="str">
        <f t="shared" si="10"/>
        <v>WV United American Insurance Co</v>
      </c>
      <c r="B672" s="1" t="s">
        <v>340</v>
      </c>
      <c r="C672" s="1" t="s">
        <v>839</v>
      </c>
      <c r="D672" s="1" t="s">
        <v>18</v>
      </c>
      <c r="E672" s="1" t="s">
        <v>19</v>
      </c>
    </row>
    <row r="673" spans="1:5" x14ac:dyDescent="0.25">
      <c r="A673" s="1" t="str">
        <f t="shared" si="10"/>
        <v>WV UnitedHealthcare Insurance Company</v>
      </c>
      <c r="B673" s="1" t="s">
        <v>340</v>
      </c>
      <c r="C673" s="1" t="s">
        <v>839</v>
      </c>
      <c r="D673" s="1" t="s">
        <v>20</v>
      </c>
      <c r="E673" s="1" t="s">
        <v>21</v>
      </c>
    </row>
    <row r="674" spans="1:5" x14ac:dyDescent="0.25">
      <c r="A674" s="1" t="str">
        <f t="shared" si="10"/>
        <v>WI Aetna Life Insurance Company</v>
      </c>
      <c r="B674" s="1" t="s">
        <v>343</v>
      </c>
      <c r="C674" s="1" t="s">
        <v>830</v>
      </c>
      <c r="D674" s="1" t="s">
        <v>4</v>
      </c>
      <c r="E674" s="1" t="s">
        <v>5</v>
      </c>
    </row>
    <row r="675" spans="1:5" x14ac:dyDescent="0.25">
      <c r="A675" s="1" t="str">
        <f t="shared" si="10"/>
        <v>WI Blue Cross Blue Shield of Wisconsin</v>
      </c>
      <c r="B675" s="1" t="s">
        <v>343</v>
      </c>
      <c r="C675" s="1" t="s">
        <v>830</v>
      </c>
      <c r="D675" s="1" t="s">
        <v>344</v>
      </c>
      <c r="E675" s="1" t="s">
        <v>41</v>
      </c>
    </row>
    <row r="676" spans="1:5" x14ac:dyDescent="0.25">
      <c r="A676" s="1" t="str">
        <f t="shared" si="10"/>
        <v>WI Compcare Health Services Insurance Corporation</v>
      </c>
      <c r="B676" s="1" t="s">
        <v>343</v>
      </c>
      <c r="C676" s="1" t="s">
        <v>830</v>
      </c>
      <c r="D676" s="1" t="s">
        <v>345</v>
      </c>
      <c r="E676" s="1" t="s">
        <v>41</v>
      </c>
    </row>
    <row r="677" spans="1:5" x14ac:dyDescent="0.25">
      <c r="A677" s="1" t="str">
        <f t="shared" si="10"/>
        <v>WI Connecticut General Life Insurance Company</v>
      </c>
      <c r="B677" s="1" t="s">
        <v>343</v>
      </c>
      <c r="C677" s="1" t="s">
        <v>830</v>
      </c>
      <c r="D677" s="1" t="s">
        <v>9</v>
      </c>
      <c r="E677" s="1" t="s">
        <v>10</v>
      </c>
    </row>
    <row r="678" spans="1:5" x14ac:dyDescent="0.25">
      <c r="A678" s="1" t="str">
        <f t="shared" si="10"/>
        <v>WI Dean Health Plan, Inc</v>
      </c>
      <c r="B678" s="1" t="s">
        <v>343</v>
      </c>
      <c r="C678" s="1" t="s">
        <v>830</v>
      </c>
      <c r="D678" s="1" t="s">
        <v>346</v>
      </c>
      <c r="E678" s="1" t="s">
        <v>347</v>
      </c>
    </row>
    <row r="679" spans="1:5" x14ac:dyDescent="0.25">
      <c r="A679" s="1" t="str">
        <f t="shared" si="10"/>
        <v>WI Group Health Cooperative of Eau Claire</v>
      </c>
      <c r="B679" s="1" t="s">
        <v>343</v>
      </c>
      <c r="C679" s="1" t="s">
        <v>830</v>
      </c>
      <c r="D679" s="1" t="s">
        <v>348</v>
      </c>
    </row>
    <row r="680" spans="1:5" x14ac:dyDescent="0.25">
      <c r="A680" s="1" t="str">
        <f t="shared" si="10"/>
        <v>WI Group Health Cooperative of South Central Wisconsin</v>
      </c>
      <c r="B680" s="1" t="s">
        <v>343</v>
      </c>
      <c r="C680" s="1" t="s">
        <v>830</v>
      </c>
      <c r="D680" s="1" t="s">
        <v>349</v>
      </c>
    </row>
    <row r="681" spans="1:5" x14ac:dyDescent="0.25">
      <c r="A681" s="1" t="str">
        <f t="shared" si="10"/>
        <v>WI Gundersen Lutheran Health Plan, Inc.</v>
      </c>
      <c r="B681" s="1" t="s">
        <v>343</v>
      </c>
      <c r="C681" s="1" t="s">
        <v>830</v>
      </c>
      <c r="D681" s="1" t="s">
        <v>350</v>
      </c>
    </row>
    <row r="682" spans="1:5" x14ac:dyDescent="0.25">
      <c r="A682" s="1" t="str">
        <f t="shared" si="10"/>
        <v>WI Health Tradition Health Plan</v>
      </c>
      <c r="B682" s="1" t="s">
        <v>343</v>
      </c>
      <c r="C682" s="1" t="s">
        <v>830</v>
      </c>
      <c r="D682" s="1" t="s">
        <v>351</v>
      </c>
    </row>
    <row r="683" spans="1:5" x14ac:dyDescent="0.25">
      <c r="A683" s="1" t="str">
        <f t="shared" si="10"/>
        <v>WI HealthPartners Insurance Company</v>
      </c>
      <c r="B683" s="1" t="s">
        <v>343</v>
      </c>
      <c r="C683" s="1" t="s">
        <v>830</v>
      </c>
      <c r="D683" s="1" t="s">
        <v>352</v>
      </c>
    </row>
    <row r="684" spans="1:5" x14ac:dyDescent="0.25">
      <c r="A684" s="1" t="str">
        <f t="shared" si="10"/>
        <v>WI Humana Insurance Company, Inc.</v>
      </c>
      <c r="B684" s="1" t="s">
        <v>343</v>
      </c>
      <c r="C684" s="1" t="s">
        <v>830</v>
      </c>
      <c r="D684" s="1" t="s">
        <v>15</v>
      </c>
      <c r="E684" s="1" t="s">
        <v>14</v>
      </c>
    </row>
    <row r="685" spans="1:5" x14ac:dyDescent="0.25">
      <c r="A685" s="1" t="str">
        <f t="shared" si="10"/>
        <v>WI Humana Wisconsin Health Organization Insurance Corporation</v>
      </c>
      <c r="B685" s="1" t="s">
        <v>343</v>
      </c>
      <c r="C685" s="1" t="s">
        <v>830</v>
      </c>
      <c r="D685" s="1" t="s">
        <v>353</v>
      </c>
      <c r="E685" s="1" t="s">
        <v>14</v>
      </c>
    </row>
    <row r="686" spans="1:5" x14ac:dyDescent="0.25">
      <c r="A686" s="1" t="str">
        <f t="shared" si="10"/>
        <v>WI Medica Insurance Company</v>
      </c>
      <c r="B686" s="1" t="s">
        <v>343</v>
      </c>
      <c r="C686" s="1" t="s">
        <v>830</v>
      </c>
      <c r="D686" s="1" t="s">
        <v>184</v>
      </c>
      <c r="E686" s="1" t="s">
        <v>183</v>
      </c>
    </row>
    <row r="687" spans="1:5" x14ac:dyDescent="0.25">
      <c r="A687" s="1" t="str">
        <f t="shared" si="10"/>
        <v>WI Medical Associates Health Plan of WI</v>
      </c>
      <c r="B687" s="1" t="s">
        <v>343</v>
      </c>
      <c r="C687" s="1" t="s">
        <v>830</v>
      </c>
      <c r="D687" s="1" t="s">
        <v>846</v>
      </c>
    </row>
    <row r="688" spans="1:5" x14ac:dyDescent="0.25">
      <c r="A688" s="1" t="str">
        <f t="shared" si="10"/>
        <v>WI MercyCare HMO</v>
      </c>
      <c r="B688" s="1" t="s">
        <v>343</v>
      </c>
      <c r="C688" s="1" t="s">
        <v>830</v>
      </c>
      <c r="D688" s="1" t="s">
        <v>354</v>
      </c>
      <c r="E688" s="1" t="s">
        <v>355</v>
      </c>
    </row>
    <row r="689" spans="1:5" x14ac:dyDescent="0.25">
      <c r="A689" s="1" t="str">
        <f t="shared" si="10"/>
        <v>WI Network Health Plan</v>
      </c>
      <c r="B689" s="1" t="s">
        <v>343</v>
      </c>
      <c r="C689" s="1" t="s">
        <v>830</v>
      </c>
      <c r="D689" s="1" t="s">
        <v>356</v>
      </c>
      <c r="E689" s="1" t="s">
        <v>357</v>
      </c>
    </row>
    <row r="690" spans="1:5" x14ac:dyDescent="0.25">
      <c r="A690" s="1" t="str">
        <f t="shared" si="10"/>
        <v>WI PacifiCare Life and Health Insurance Co</v>
      </c>
      <c r="B690" s="1" t="s">
        <v>343</v>
      </c>
      <c r="C690" s="1" t="s">
        <v>830</v>
      </c>
      <c r="D690" s="1" t="s">
        <v>66</v>
      </c>
      <c r="E690" s="1" t="s">
        <v>32</v>
      </c>
    </row>
    <row r="691" spans="1:5" x14ac:dyDescent="0.25">
      <c r="A691" s="1" t="str">
        <f t="shared" si="10"/>
        <v>WI Physicians Plus Insurance Corporation</v>
      </c>
      <c r="B691" s="1" t="s">
        <v>343</v>
      </c>
      <c r="C691" s="1" t="s">
        <v>830</v>
      </c>
      <c r="D691" s="1" t="s">
        <v>358</v>
      </c>
    </row>
    <row r="692" spans="1:5" x14ac:dyDescent="0.25">
      <c r="A692" s="1" t="str">
        <f t="shared" si="10"/>
        <v>WI Security Health Plan of Wisconsin, Inc.</v>
      </c>
      <c r="B692" s="1" t="s">
        <v>343</v>
      </c>
      <c r="C692" s="1" t="s">
        <v>830</v>
      </c>
      <c r="D692" s="1" t="s">
        <v>359</v>
      </c>
    </row>
    <row r="693" spans="1:5" x14ac:dyDescent="0.25">
      <c r="A693" s="1" t="str">
        <f t="shared" si="10"/>
        <v>WI UNICARE Life &amp; Health Insurance Company</v>
      </c>
      <c r="B693" s="1" t="s">
        <v>343</v>
      </c>
      <c r="C693" s="1" t="s">
        <v>830</v>
      </c>
      <c r="D693" s="1" t="s">
        <v>16</v>
      </c>
      <c r="E693" s="1" t="s">
        <v>17</v>
      </c>
    </row>
    <row r="694" spans="1:5" x14ac:dyDescent="0.25">
      <c r="A694" s="1" t="str">
        <f t="shared" si="10"/>
        <v>WI United American Insurance Co</v>
      </c>
      <c r="B694" s="1" t="s">
        <v>343</v>
      </c>
      <c r="C694" s="1" t="s">
        <v>830</v>
      </c>
      <c r="D694" s="1" t="s">
        <v>18</v>
      </c>
      <c r="E694" s="1" t="s">
        <v>19</v>
      </c>
    </row>
    <row r="695" spans="1:5" x14ac:dyDescent="0.25">
      <c r="A695" s="1" t="str">
        <f t="shared" si="10"/>
        <v>WI UnitedHealthcare Insurance Company</v>
      </c>
      <c r="B695" s="1" t="s">
        <v>343</v>
      </c>
      <c r="C695" s="1" t="s">
        <v>830</v>
      </c>
      <c r="D695" s="1" t="s">
        <v>20</v>
      </c>
      <c r="E695" s="1" t="s">
        <v>21</v>
      </c>
    </row>
    <row r="696" spans="1:5" x14ac:dyDescent="0.25">
      <c r="A696" s="1" t="str">
        <f t="shared" si="10"/>
        <v>WI UnitedHealthcare of Wisconsin, Inc.</v>
      </c>
      <c r="B696" s="1" t="s">
        <v>343</v>
      </c>
      <c r="C696" s="1" t="s">
        <v>830</v>
      </c>
      <c r="D696" s="1" t="s">
        <v>360</v>
      </c>
      <c r="E696" s="1" t="s">
        <v>21</v>
      </c>
    </row>
    <row r="697" spans="1:5" x14ac:dyDescent="0.25">
      <c r="A697" s="1" t="str">
        <f t="shared" si="10"/>
        <v>WI Unity Health Plans Insurance Corporation</v>
      </c>
      <c r="B697" s="1" t="s">
        <v>343</v>
      </c>
      <c r="C697" s="1" t="s">
        <v>830</v>
      </c>
      <c r="D697" s="1" t="s">
        <v>361</v>
      </c>
    </row>
    <row r="698" spans="1:5" x14ac:dyDescent="0.25">
      <c r="A698" s="1" t="str">
        <f t="shared" si="10"/>
        <v>WI Wisconsin Physicians Services Insurance Corporation</v>
      </c>
      <c r="B698" s="1" t="s">
        <v>343</v>
      </c>
      <c r="C698" s="1" t="s">
        <v>830</v>
      </c>
      <c r="D698" s="1" t="s">
        <v>362</v>
      </c>
      <c r="E698" s="1" t="s">
        <v>362</v>
      </c>
    </row>
    <row r="699" spans="1:5" x14ac:dyDescent="0.25">
      <c r="A699" s="1" t="str">
        <f t="shared" si="10"/>
        <v>WY Aetna Life Insurance Company</v>
      </c>
      <c r="B699" s="1" t="s">
        <v>363</v>
      </c>
      <c r="C699" s="1" t="s">
        <v>842</v>
      </c>
      <c r="D699" s="1" t="s">
        <v>4</v>
      </c>
      <c r="E699" s="1" t="s">
        <v>5</v>
      </c>
    </row>
    <row r="700" spans="1:5" x14ac:dyDescent="0.25">
      <c r="A700" s="1" t="str">
        <f t="shared" si="10"/>
        <v>WY Altius Health Plans, Inc.</v>
      </c>
      <c r="B700" s="1" t="s">
        <v>363</v>
      </c>
      <c r="C700" s="1" t="s">
        <v>842</v>
      </c>
      <c r="D700" s="1" t="s">
        <v>318</v>
      </c>
      <c r="E700" s="1" t="s">
        <v>36</v>
      </c>
    </row>
    <row r="701" spans="1:5" x14ac:dyDescent="0.25">
      <c r="A701" s="1" t="str">
        <f t="shared" si="10"/>
        <v>WY Blue Cross Blue Shield of Wyoming</v>
      </c>
      <c r="B701" s="1" t="s">
        <v>363</v>
      </c>
      <c r="C701" s="1" t="s">
        <v>842</v>
      </c>
      <c r="D701" s="1" t="s">
        <v>364</v>
      </c>
    </row>
    <row r="702" spans="1:5" x14ac:dyDescent="0.25">
      <c r="A702" s="1" t="str">
        <f t="shared" si="10"/>
        <v>WY Celtic Insurance Company</v>
      </c>
      <c r="B702" s="1" t="s">
        <v>363</v>
      </c>
      <c r="C702" s="1" t="s">
        <v>842</v>
      </c>
      <c r="D702" s="1" t="s">
        <v>7</v>
      </c>
      <c r="E702" s="1" t="s">
        <v>8</v>
      </c>
    </row>
    <row r="703" spans="1:5" x14ac:dyDescent="0.25">
      <c r="A703" s="1" t="str">
        <f t="shared" si="10"/>
        <v>WY Connecticut General Life Insurance Company</v>
      </c>
      <c r="B703" s="1" t="s">
        <v>363</v>
      </c>
      <c r="C703" s="1" t="s">
        <v>842</v>
      </c>
      <c r="D703" s="1" t="s">
        <v>9</v>
      </c>
      <c r="E703" s="1" t="s">
        <v>10</v>
      </c>
    </row>
    <row r="704" spans="1:5" x14ac:dyDescent="0.25">
      <c r="A704" s="1" t="str">
        <f t="shared" si="10"/>
        <v>WY Humana Insurance Company, Inc.</v>
      </c>
      <c r="B704" s="1" t="s">
        <v>363</v>
      </c>
      <c r="C704" s="1" t="s">
        <v>842</v>
      </c>
      <c r="D704" s="1" t="s">
        <v>15</v>
      </c>
      <c r="E704" s="1" t="s">
        <v>14</v>
      </c>
    </row>
    <row r="705" spans="1:5" x14ac:dyDescent="0.25">
      <c r="A705" s="1" t="str">
        <f t="shared" si="10"/>
        <v>WY United American Insurance Co</v>
      </c>
      <c r="B705" s="1" t="s">
        <v>363</v>
      </c>
      <c r="C705" s="1" t="s">
        <v>842</v>
      </c>
      <c r="D705" s="1" t="s">
        <v>18</v>
      </c>
      <c r="E705" s="1" t="s">
        <v>19</v>
      </c>
    </row>
    <row r="706" spans="1:5" x14ac:dyDescent="0.25">
      <c r="A706" s="1" t="str">
        <f t="shared" si="10"/>
        <v>WY UnitedHealthcare Insurance Company</v>
      </c>
      <c r="B706" s="1" t="s">
        <v>363</v>
      </c>
      <c r="C706" s="1" t="s">
        <v>842</v>
      </c>
      <c r="D706" s="1" t="s">
        <v>20</v>
      </c>
      <c r="E706" s="1" t="s">
        <v>21</v>
      </c>
    </row>
  </sheetData>
  <autoFilter ref="B1:E706"/>
  <sortState ref="B2:F706">
    <sortCondition ref="B2:B706"/>
    <sortCondition ref="D2:D706"/>
    <sortCondition ref="E2:E706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Landscape Data</vt:lpstr>
      <vt:lpstr>MLR Data</vt:lpstr>
    </vt:vector>
  </TitlesOfParts>
  <Company>Kellogg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Tingle</dc:creator>
  <cp:lastModifiedBy>Amy Tingle</cp:lastModifiedBy>
  <dcterms:created xsi:type="dcterms:W3CDTF">2019-08-28T19:32:24Z</dcterms:created>
  <dcterms:modified xsi:type="dcterms:W3CDTF">2020-06-10T21:06:18Z</dcterms:modified>
</cp:coreProperties>
</file>